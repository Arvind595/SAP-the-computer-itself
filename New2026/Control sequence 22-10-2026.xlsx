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SAP-the-computer-itself\New2026\"/>
    </mc:Choice>
  </mc:AlternateContent>
  <xr:revisionPtr revIDLastSave="0" documentId="13_ncr:1_{D7A9E293-328C-4061-B6A3-474122A9955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" i="1" l="1" a="1"/>
  <c r="AB17" i="1" a="1"/>
  <c r="AB18" i="1" a="1"/>
  <c r="AB19" i="1" a="1"/>
  <c r="AB20" i="1" a="1"/>
  <c r="AB21" i="1" a="1"/>
  <c r="AB22" i="1" a="1"/>
  <c r="AB23" i="1" a="1"/>
  <c r="AB24" i="1" a="1"/>
  <c r="AB25" i="1" a="1"/>
  <c r="AB26" i="1" a="1"/>
  <c r="AB27" i="1" a="1"/>
  <c r="AB28" i="1" a="1"/>
  <c r="AB29" i="1" a="1"/>
  <c r="AB30" i="1" a="1"/>
  <c r="AB31" i="1" a="1"/>
  <c r="AB32" i="1" a="1"/>
  <c r="AB33" i="1" a="1"/>
  <c r="AB34" i="1" a="1"/>
  <c r="AB35" i="1" a="1"/>
  <c r="AB36" i="1" a="1"/>
  <c r="AB37" i="1" a="1"/>
  <c r="AB38" i="1" a="1"/>
  <c r="AB39" i="1" a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B53" i="1"/>
  <c r="B52" i="1"/>
  <c r="B51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7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61" i="1"/>
  <c r="AB7" i="1" a="1"/>
  <c r="AB8" i="1" a="1"/>
  <c r="AB9" i="1" a="1"/>
  <c r="AB10" i="1" a="1"/>
  <c r="AB11" i="1" a="1"/>
  <c r="AB12" i="1" a="1"/>
  <c r="AB13" i="1" a="1"/>
  <c r="AB14" i="1" a="1"/>
  <c r="AB15" i="1" a="1"/>
  <c r="AB48" i="1" a="1"/>
  <c r="AB49" i="1" a="1"/>
  <c r="AB50" i="1" a="1"/>
  <c r="AB51" i="1" a="1"/>
  <c r="AB52" i="1" a="1"/>
  <c r="AB53" i="1" a="1"/>
  <c r="AB40" i="1" a="1"/>
  <c r="AB41" i="1" a="1"/>
  <c r="AB42" i="1" a="1"/>
  <c r="AB43" i="1" a="1"/>
  <c r="AB44" i="1" a="1"/>
  <c r="AB45" i="1" a="1"/>
  <c r="AB46" i="1" a="1"/>
  <c r="AB47" i="1" a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K15" i="1"/>
  <c r="K14" i="1"/>
  <c r="K13" i="1"/>
  <c r="K12" i="1"/>
  <c r="K11" i="1"/>
  <c r="K10" i="1"/>
  <c r="AB6" i="1" a="1"/>
  <c r="AB5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<sst xmlns="http://schemas.openxmlformats.org/spreadsheetml/2006/main" count="88" uniqueCount="68">
  <si>
    <t>Control Signal net name</t>
  </si>
  <si>
    <t>A6</t>
  </si>
  <si>
    <t>A5</t>
  </si>
  <si>
    <t>A4</t>
  </si>
  <si>
    <t>A3</t>
  </si>
  <si>
    <t>A2</t>
  </si>
  <si>
    <t>A1</t>
  </si>
  <si>
    <t>A0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</si>
  <si>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</si>
  <si>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</si>
  <si>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</si>
  <si>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</si>
  <si>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</si>
  <si>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</si>
  <si>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</si>
  <si>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</si>
  <si>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</si>
  <si>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</si>
  <si>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</si>
  <si>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</si>
  <si>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</si>
  <si>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</si>
  <si>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</si>
  <si>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</si>
  <si>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Halt</t>
  </si>
  <si>
    <t>MAR In</t>
  </si>
  <si>
    <t>Ram In</t>
  </si>
  <si>
    <t>Ram Out</t>
  </si>
  <si>
    <t>Inst Out</t>
  </si>
  <si>
    <t>Inst In</t>
  </si>
  <si>
    <t>A reg In</t>
  </si>
  <si>
    <t>A reg Out</t>
  </si>
  <si>
    <t>Sum reg Out</t>
  </si>
  <si>
    <t>Subtract En</t>
  </si>
  <si>
    <t>B reg In</t>
  </si>
  <si>
    <t>output reg In</t>
  </si>
  <si>
    <t>Count En</t>
  </si>
  <si>
    <t>Count Out</t>
  </si>
  <si>
    <t>Jump En</t>
  </si>
  <si>
    <t>executed instruction</t>
  </si>
  <si>
    <t>Instruction Bits(high Nibble)</t>
  </si>
  <si>
    <t>Step (T0 - T4)</t>
  </si>
  <si>
    <t>HLT</t>
  </si>
  <si>
    <t>MI</t>
  </si>
  <si>
    <t>RI</t>
  </si>
  <si>
    <t>RO</t>
  </si>
  <si>
    <t>IO</t>
  </si>
  <si>
    <t>II</t>
  </si>
  <si>
    <t>AI</t>
  </si>
  <si>
    <t>AO</t>
  </si>
  <si>
    <t>SO</t>
  </si>
  <si>
    <t>SU</t>
  </si>
  <si>
    <t>BI</t>
  </si>
  <si>
    <t>OI</t>
  </si>
  <si>
    <t>CE</t>
  </si>
  <si>
    <t>CO</t>
  </si>
  <si>
    <t>JE</t>
  </si>
  <si>
    <t>Fetch</t>
  </si>
  <si>
    <t>x</t>
  </si>
  <si>
    <t>LDA</t>
  </si>
  <si>
    <t>ADD</t>
  </si>
  <si>
    <t>OUT</t>
  </si>
  <si>
    <t>Location in RAM</t>
  </si>
  <si>
    <t>B reg out</t>
  </si>
  <si>
    <t>BO</t>
  </si>
  <si>
    <t>Program Code</t>
  </si>
  <si>
    <t>OPCODE</t>
  </si>
  <si>
    <t>NOP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</si>
</sst>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Calibri"/>
      <charset val="134"/>
      <scheme val="minor"/>
    </font>
    <font>
      <sz val="11"/>
      <color theme="1"/>
      <name val="Consolas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79998168889431442"/>
  </sheetPr>
  <dimension ref="A1:AB76"/>
  <sheetViews>
    <sheetView tabSelected="1" topLeftCell="A24" zoomScale="123" zoomScaleNormal="115" workbookViewId="0">
      <selection activeCell="G41" sqref="G41"/>
    </sheetView>
  </sheetViews>
  <sheetFormatPr defaultColWidth="9.109375" defaultRowHeight="14.4"/>
  <cols>
    <col min="1" max="2" width="9.109375" style="1"/>
    <col min="3" max="3" width="26.33203125" style="1" customWidth="1"/>
    <col min="4" max="10" width="7.6640625" style="1" customWidth="1"/>
    <col min="11" max="11" width="9.109375" style="1"/>
    <col min="12" max="12" width="5.6640625" style="1" bestFit="1" customWidth="1"/>
    <col min="13" max="14" width="8.109375" style="1" bestFit="1" customWidth="1"/>
    <col min="15" max="15" width="9.21875" style="1" bestFit="1" customWidth="1"/>
    <col min="16" max="16" width="10.44140625" style="1" bestFit="1" customWidth="1"/>
    <col min="17" max="17" width="9.21875" style="1" bestFit="1" customWidth="1"/>
    <col min="18" max="18" width="10.44140625" style="1" bestFit="1" customWidth="1"/>
    <col min="19" max="19" width="11.5546875" style="1" bestFit="1" customWidth="1"/>
    <col min="20" max="21" width="13.88671875" style="1" bestFit="1" customWidth="1"/>
    <col min="22" max="22" width="10.44140625" style="1" bestFit="1" customWidth="1"/>
    <col min="23" max="23" width="16.33203125" style="1" bestFit="1" customWidth="1"/>
    <col min="24" max="24" width="10.44140625" style="1" bestFit="1" customWidth="1"/>
    <col min="25" max="25" width="11.5546875" style="1" bestFit="1" customWidth="1"/>
    <col min="26" max="26" width="9.21875" style="1" bestFit="1" customWidth="1"/>
    <col min="27" max="27" width="11.5546875" style="1" bestFit="1" customWidth="1"/>
    <col min="28" max="16384" width="9.109375" style="1"/>
  </cols>
  <sheetData>
    <row r="1" spans="1:28">
      <c r="L1" s="7" t="s">
        <v>0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9"/>
      <c r="AA1" s="2"/>
    </row>
    <row r="2" spans="1:28">
      <c r="D2" s="2" t="s">
        <v>7</v>
      </c>
      <c r="E2" s="2" t="s">
        <v>6</v>
      </c>
      <c r="F2" s="2" t="s">
        <v>5</v>
      </c>
      <c r="G2" s="2" t="s">
        <v>4</v>
      </c>
      <c r="H2" s="2" t="s">
        <v>3</v>
      </c>
      <c r="I2" s="2" t="s">
        <v>2</v>
      </c>
      <c r="J2" s="2" t="s">
        <v>1</v>
      </c>
      <c r="L2" s="2" t="s">
        <v>23</v>
      </c>
      <c r="M2" s="2" t="s">
        <v>22</v>
      </c>
      <c r="N2" s="2" t="s">
        <v>21</v>
      </c>
      <c r="O2" s="2" t="s">
        <v>20</v>
      </c>
      <c r="P2" s="2" t="s">
        <v>19</v>
      </c>
      <c r="Q2" s="2" t="s">
        <v>18</v>
      </c>
      <c r="R2" s="2" t="s">
        <v>17</v>
      </c>
      <c r="S2" s="2" t="s">
        <v>16</v>
      </c>
      <c r="T2" s="2" t="s">
        <v>15</v>
      </c>
      <c r="U2" s="2" t="s">
        <v>14</v>
      </c>
      <c r="V2" s="2" t="s">
        <v>13</v>
      </c>
      <c r="W2" s="2" t="s">
        <v>12</v>
      </c>
      <c r="X2" s="2" t="s">
        <v>11</v>
      </c>
      <c r="Y2" s="2" t="s">
        <v>10</v>
      </c>
      <c r="Z2" s="2" t="s">
        <v>9</v>
      </c>
      <c r="AA2" s="2" t="s">
        <v>8</v>
      </c>
    </row>
    <row r="3" spans="1:28">
      <c r="L3" s="2" t="s">
        <v>24</v>
      </c>
      <c r="M3" s="2" t="s">
        <v>25</v>
      </c>
      <c r="N3" s="2" t="s">
        <v>26</v>
      </c>
      <c r="O3" s="2" t="s">
        <v>27</v>
      </c>
      <c r="P3" s="2" t="s">
        <v>28</v>
      </c>
      <c r="Q3" s="2" t="s">
        <v>29</v>
      </c>
      <c r="R3" s="2" t="s">
        <v>30</v>
      </c>
      <c r="S3" s="2" t="s">
        <v>31</v>
      </c>
      <c r="T3" s="2" t="s">
        <v>32</v>
      </c>
      <c r="U3" s="2" t="s">
        <v>33</v>
      </c>
      <c r="V3" s="2" t="s">
        <v>34</v>
      </c>
      <c r="W3" s="2" t="s">
        <v>35</v>
      </c>
      <c r="X3" s="2" t="s">
        <v>36</v>
      </c>
      <c r="Y3" s="2" t="s">
        <v>37</v>
      </c>
      <c r="Z3" s="2" t="s">
        <v>38</v>
      </c>
      <c r="AA3" s="2" t="s">
        <v>63</v>
      </c>
    </row>
    <row r="4" spans="1:28">
      <c r="B4" s="1" t="s">
        <v>66</v>
      </c>
      <c r="C4" s="2" t="s">
        <v>39</v>
      </c>
      <c r="D4" s="7" t="s">
        <v>40</v>
      </c>
      <c r="E4" s="8"/>
      <c r="F4" s="8"/>
      <c r="G4" s="9"/>
      <c r="H4" s="7" t="s">
        <v>41</v>
      </c>
      <c r="I4" s="8"/>
      <c r="J4" s="9"/>
      <c r="L4" s="2" t="s">
        <v>42</v>
      </c>
      <c r="M4" s="2" t="s">
        <v>43</v>
      </c>
      <c r="N4" s="2" t="s">
        <v>44</v>
      </c>
      <c r="O4" s="2" t="s">
        <v>45</v>
      </c>
      <c r="P4" s="2" t="s">
        <v>46</v>
      </c>
      <c r="Q4" s="2" t="s">
        <v>47</v>
      </c>
      <c r="R4" s="2" t="s">
        <v>48</v>
      </c>
      <c r="S4" s="2" t="s">
        <v>49</v>
      </c>
      <c r="T4" s="2" t="s">
        <v>50</v>
      </c>
      <c r="U4" s="2" t="s">
        <v>51</v>
      </c>
      <c r="V4" s="2" t="s">
        <v>52</v>
      </c>
      <c r="W4" s="2" t="s">
        <v>53</v>
      </c>
      <c r="X4" s="2" t="s">
        <v>54</v>
      </c>
      <c r="Y4" s="2" t="s">
        <v>55</v>
      </c>
      <c r="Z4" s="2" t="s">
        <v>56</v>
      </c>
      <c r="AA4" s="2" t="s">
        <v>64</v>
      </c>
    </row>
    <row r="5" spans="1:28">
      <c r="C5" s="4" t="s">
        <v>57</v>
      </c>
      <c r="D5" s="2" t="s">
        <v>58</v>
      </c>
      <c r="E5" s="2" t="s">
        <v>58</v>
      </c>
      <c r="F5" s="2" t="s">
        <v>58</v>
      </c>
      <c r="G5" s="2" t="s">
        <v>58</v>
      </c>
      <c r="H5" s="2">
        <v>0</v>
      </c>
      <c r="I5" s="2">
        <v>0</v>
      </c>
      <c r="J5" s="2">
        <v>0</v>
      </c>
      <c r="L5" s="2">
        <v>0</v>
      </c>
      <c r="M5" s="2">
        <v>1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1</v>
      </c>
      <c r="Z5" s="2">
        <v>0</v>
      </c>
      <c r="AA5" s="2">
        <v>0</v>
      </c>
      <c r="AB5" s="1" t="str" cm="1">
        <f t="array" ref="AB5">DEC2HEX(SUMPRODUCT(L5:S5,2^{0,1,2,3,4,5,6,7})+SUMPRODUCT(T5:AA5,2^{8,9,10,11,12,13,14,15}),4)</f>
        <v>2002</v>
      </c>
    </row>
    <row r="6" spans="1:28">
      <c r="C6" s="6"/>
      <c r="D6" s="2" t="s">
        <v>58</v>
      </c>
      <c r="E6" s="2" t="s">
        <v>58</v>
      </c>
      <c r="F6" s="2" t="s">
        <v>58</v>
      </c>
      <c r="G6" s="2" t="s">
        <v>58</v>
      </c>
      <c r="H6" s="2">
        <v>0</v>
      </c>
      <c r="I6" s="2">
        <v>0</v>
      </c>
      <c r="J6" s="2">
        <v>1</v>
      </c>
      <c r="L6" s="2">
        <v>0</v>
      </c>
      <c r="M6" s="2">
        <v>0</v>
      </c>
      <c r="N6" s="2">
        <v>0</v>
      </c>
      <c r="O6" s="2">
        <v>1</v>
      </c>
      <c r="P6" s="2">
        <v>0</v>
      </c>
      <c r="Q6" s="2">
        <v>1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1</v>
      </c>
      <c r="Y6" s="2">
        <v>0</v>
      </c>
      <c r="Z6" s="2">
        <v>0</v>
      </c>
      <c r="AA6" s="2">
        <v>0</v>
      </c>
      <c r="AB6" s="1" t="str" cm="1">
        <f t="array" ref="AB6">DEC2HEX(SUMPRODUCT(L6:S6,2^{0,1,2,3,4,5,6,7})+SUMPRODUCT(T6:AA6,2^{8,9,10,11,12,13,14,15}),4)</f>
        <v>1028</v>
      </c>
    </row>
    <row r="7" spans="1:28">
      <c r="A7" s="3">
        <v>0</v>
      </c>
      <c r="B7" s="5" t="str">
        <f>DEC2BIN(A7,4)</f>
        <v>0000</v>
      </c>
      <c r="C7" s="4" t="s">
        <v>67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1</v>
      </c>
      <c r="J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1" t="str" cm="1">
        <f t="array" ref="AB7">DEC2HEX(SUMPRODUCT(L7:S7,2^{0,1,2,3,4,5,6,7})+SUMPRODUCT(T7:AA7,2^{8,9,10,11,12,13,14,15}),4)</f>
        <v>0000</v>
      </c>
    </row>
    <row r="8" spans="1:28">
      <c r="A8" s="3">
        <v>0</v>
      </c>
      <c r="B8" s="5" t="str">
        <f t="shared" ref="B8:B53" si="0">DEC2BIN(A8,4)</f>
        <v>0000</v>
      </c>
      <c r="C8" s="5"/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1</v>
      </c>
      <c r="J8" s="2">
        <v>1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1" t="str" cm="1">
        <f t="array" ref="AB8">DEC2HEX(SUMPRODUCT(L8:S8,2^{0,1,2,3,4,5,6,7})+SUMPRODUCT(T8:AA8,2^{8,9,10,11,12,13,14,15}),4)</f>
        <v>0000</v>
      </c>
    </row>
    <row r="9" spans="1:28">
      <c r="A9" s="3">
        <v>0</v>
      </c>
      <c r="B9" s="5" t="str">
        <f t="shared" si="0"/>
        <v>0000</v>
      </c>
      <c r="C9" s="6"/>
      <c r="D9" s="2">
        <v>0</v>
      </c>
      <c r="E9" s="2">
        <v>0</v>
      </c>
      <c r="F9" s="2">
        <v>0</v>
      </c>
      <c r="G9" s="2">
        <v>0</v>
      </c>
      <c r="H9" s="2">
        <v>1</v>
      </c>
      <c r="I9" s="2">
        <v>0</v>
      </c>
      <c r="J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1" t="str" cm="1">
        <f t="array" ref="AB9">DEC2HEX(SUMPRODUCT(L9:S9,2^{0,1,2,3,4,5,6,7})+SUMPRODUCT(T9:AA9,2^{8,9,10,11,12,13,14,15}),4)</f>
        <v>0000</v>
      </c>
    </row>
    <row r="10" spans="1:28">
      <c r="A10" s="3">
        <v>1</v>
      </c>
      <c r="B10" s="5" t="str">
        <f t="shared" si="0"/>
        <v>0001</v>
      </c>
      <c r="C10" s="4" t="s">
        <v>59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1</v>
      </c>
      <c r="J10" s="2">
        <v>0</v>
      </c>
      <c r="K10" s="1" t="str">
        <f>DEC2HEX(BIN2DEC(_xlfn.TEXTJOIN("",TRUE,D10:G10,H10:J10)),2)</f>
        <v>0A</v>
      </c>
      <c r="L10" s="2">
        <v>0</v>
      </c>
      <c r="M10" s="2">
        <v>1</v>
      </c>
      <c r="N10" s="2">
        <v>0</v>
      </c>
      <c r="O10" s="2">
        <v>0</v>
      </c>
      <c r="P10" s="2">
        <v>1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1" t="str" cm="1">
        <f t="array" ref="AB10">DEC2HEX(SUMPRODUCT(L10:S10,2^{0,1,2,3,4,5,6,7})+SUMPRODUCT(T10:AA10,2^{8,9,10,11,12,13,14,15}),4)</f>
        <v>0012</v>
      </c>
    </row>
    <row r="11" spans="1:28">
      <c r="A11" s="3">
        <v>1</v>
      </c>
      <c r="B11" s="5" t="str">
        <f t="shared" si="0"/>
        <v>0001</v>
      </c>
      <c r="C11" s="5"/>
      <c r="D11" s="2">
        <v>0</v>
      </c>
      <c r="E11" s="2">
        <v>0</v>
      </c>
      <c r="F11" s="2">
        <v>0</v>
      </c>
      <c r="G11" s="2">
        <v>1</v>
      </c>
      <c r="H11" s="2">
        <v>0</v>
      </c>
      <c r="I11" s="2">
        <v>1</v>
      </c>
      <c r="J11" s="2">
        <v>1</v>
      </c>
      <c r="K11" s="1" t="str">
        <f>DEC2HEX(BIN2DEC(_xlfn.TEXTJOIN("",TRUE,D11:G11,H11:J11)),2)</f>
        <v>0B</v>
      </c>
      <c r="L11" s="2">
        <v>0</v>
      </c>
      <c r="M11" s="2">
        <v>0</v>
      </c>
      <c r="N11" s="2">
        <v>0</v>
      </c>
      <c r="O11" s="2">
        <v>1</v>
      </c>
      <c r="P11" s="2">
        <v>0</v>
      </c>
      <c r="Q11" s="2">
        <v>0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1" t="str" cm="1">
        <f t="array" ref="AB11">DEC2HEX(SUMPRODUCT(L11:S11,2^{0,1,2,3,4,5,6,7})+SUMPRODUCT(T11:AA11,2^{8,9,10,11,12,13,14,15}),4)</f>
        <v>0048</v>
      </c>
    </row>
    <row r="12" spans="1:28">
      <c r="A12" s="3">
        <v>1</v>
      </c>
      <c r="B12" s="5" t="str">
        <f t="shared" si="0"/>
        <v>0001</v>
      </c>
      <c r="C12" s="6"/>
      <c r="D12" s="2">
        <v>0</v>
      </c>
      <c r="E12" s="2">
        <v>0</v>
      </c>
      <c r="F12" s="2">
        <v>0</v>
      </c>
      <c r="G12" s="2">
        <v>1</v>
      </c>
      <c r="H12" s="2">
        <v>1</v>
      </c>
      <c r="I12" s="2">
        <v>0</v>
      </c>
      <c r="J12" s="2">
        <v>0</v>
      </c>
      <c r="K12" s="1" t="str">
        <f>DEC2HEX(BIN2DEC(_xlfn.TEXTJOIN("",TRUE,D12:G12,H12:J12)),2)</f>
        <v>0C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1" t="str" cm="1">
        <f t="array" ref="AB12">DEC2HEX(SUMPRODUCT(L12:S12,2^{0,1,2,3,4,5,6,7})+SUMPRODUCT(T12:AA12,2^{8,9,10,11,12,13,14,15}),4)</f>
        <v>0000</v>
      </c>
    </row>
    <row r="13" spans="1:28">
      <c r="A13" s="3">
        <v>2</v>
      </c>
      <c r="B13" s="5" t="str">
        <f t="shared" si="0"/>
        <v>0010</v>
      </c>
      <c r="C13" s="4" t="s">
        <v>60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1</v>
      </c>
      <c r="J13" s="2">
        <v>0</v>
      </c>
      <c r="K13" s="1" t="str">
        <f>DEC2HEX(BIN2DEC(_xlfn.TEXTJOIN("",TRUE,D13:G13,H13:J13)),2)</f>
        <v>12</v>
      </c>
      <c r="L13" s="2">
        <v>0</v>
      </c>
      <c r="M13" s="2">
        <v>1</v>
      </c>
      <c r="N13" s="2">
        <v>0</v>
      </c>
      <c r="O13" s="2">
        <v>0</v>
      </c>
      <c r="P13" s="2">
        <v>1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1" t="str" cm="1">
        <f t="array" ref="AB13">DEC2HEX(SUMPRODUCT(L13:S13,2^{0,1,2,3,4,5,6,7})+SUMPRODUCT(T13:AA13,2^{8,9,10,11,12,13,14,15}),4)</f>
        <v>0012</v>
      </c>
    </row>
    <row r="14" spans="1:28">
      <c r="A14" s="3">
        <v>2</v>
      </c>
      <c r="B14" s="5" t="str">
        <f t="shared" si="0"/>
        <v>0010</v>
      </c>
      <c r="C14" s="5"/>
      <c r="D14" s="2">
        <v>0</v>
      </c>
      <c r="E14" s="2">
        <v>0</v>
      </c>
      <c r="F14" s="2">
        <v>1</v>
      </c>
      <c r="G14" s="2">
        <v>0</v>
      </c>
      <c r="H14" s="2">
        <v>0</v>
      </c>
      <c r="I14" s="2">
        <v>1</v>
      </c>
      <c r="J14" s="2">
        <v>1</v>
      </c>
      <c r="K14" s="1" t="str">
        <f>DEC2HEX(BIN2DEC(_xlfn.TEXTJOIN("",TRUE,D14:G14,H14:J14)),2)</f>
        <v>13</v>
      </c>
      <c r="L14" s="2">
        <v>0</v>
      </c>
      <c r="M14" s="2">
        <v>0</v>
      </c>
      <c r="N14" s="2">
        <v>0</v>
      </c>
      <c r="O14" s="2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1" t="str" cm="1">
        <f t="array" ref="AB14">DEC2HEX(SUMPRODUCT(L14:S14,2^{0,1,2,3,4,5,6,7})+SUMPRODUCT(T14:AA14,2^{8,9,10,11,12,13,14,15}),4)</f>
        <v>0408</v>
      </c>
    </row>
    <row r="15" spans="1:28">
      <c r="A15" s="3">
        <v>2</v>
      </c>
      <c r="B15" s="5" t="str">
        <f t="shared" si="0"/>
        <v>0010</v>
      </c>
      <c r="C15" s="6"/>
      <c r="D15" s="2">
        <v>0</v>
      </c>
      <c r="E15" s="2">
        <v>0</v>
      </c>
      <c r="F15" s="2">
        <v>1</v>
      </c>
      <c r="G15" s="2">
        <v>0</v>
      </c>
      <c r="H15" s="2">
        <v>1</v>
      </c>
      <c r="I15" s="2">
        <v>0</v>
      </c>
      <c r="J15" s="2">
        <v>0</v>
      </c>
      <c r="K15" s="1" t="str">
        <f>DEC2HEX(BIN2DEC(_xlfn.TEXTJOIN("",TRUE,D15:G15,H15:J15)),2)</f>
        <v>14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>
        <v>0</v>
      </c>
      <c r="T15" s="2">
        <v>1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1" t="str" cm="1">
        <f t="array" ref="AB15">DEC2HEX(SUMPRODUCT(L15:S15,2^{0,1,2,3,4,5,6,7})+SUMPRODUCT(T15:AA15,2^{8,9,10,11,12,13,14,15}),4)</f>
        <v>0140</v>
      </c>
    </row>
    <row r="16" spans="1:28">
      <c r="A16" s="3">
        <v>3</v>
      </c>
      <c r="B16" s="5" t="str">
        <f t="shared" si="0"/>
        <v>0011</v>
      </c>
      <c r="C16" s="2"/>
      <c r="D16" s="2"/>
      <c r="E16" s="2"/>
      <c r="F16" s="2"/>
      <c r="G16" s="2"/>
      <c r="H16" s="2"/>
      <c r="I16" s="2"/>
      <c r="J16" s="2"/>
      <c r="K16" s="1" t="str">
        <f t="shared" ref="K16:K53" si="1">DEC2HEX(BIN2DEC(_xlfn.TEXTJOIN("",TRUE,D16:G16,H16:J16)),2)</f>
        <v>00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1" t="str" cm="1">
        <f t="array" ref="AB16">DEC2HEX(SUMPRODUCT(L16:S16,2^{0,1,2,3,4,5,6,7})+SUMPRODUCT(T16:AA16,2^{8,9,10,11,12,13,14,15}),4)</f>
        <v>0000</v>
      </c>
    </row>
    <row r="17" spans="1:28">
      <c r="A17" s="3">
        <v>3</v>
      </c>
      <c r="B17" s="5" t="str">
        <f t="shared" si="0"/>
        <v>0011</v>
      </c>
      <c r="C17" s="2"/>
      <c r="D17" s="2"/>
      <c r="E17" s="2"/>
      <c r="F17" s="2"/>
      <c r="G17" s="2"/>
      <c r="H17" s="2"/>
      <c r="I17" s="2"/>
      <c r="J17" s="2"/>
      <c r="K17" s="1" t="str">
        <f t="shared" si="1"/>
        <v>00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1" t="str" cm="1">
        <f t="array" ref="AB17">DEC2HEX(SUMPRODUCT(L17:S17,2^{0,1,2,3,4,5,6,7})+SUMPRODUCT(T17:AA17,2^{8,9,10,11,12,13,14,15}),4)</f>
        <v>0000</v>
      </c>
    </row>
    <row r="18" spans="1:28">
      <c r="A18" s="3">
        <v>3</v>
      </c>
      <c r="B18" s="5" t="str">
        <f t="shared" si="0"/>
        <v>0011</v>
      </c>
      <c r="C18" s="2"/>
      <c r="D18" s="2"/>
      <c r="E18" s="2"/>
      <c r="F18" s="2"/>
      <c r="G18" s="2"/>
      <c r="H18" s="2"/>
      <c r="I18" s="2"/>
      <c r="J18" s="2"/>
      <c r="K18" s="1" t="str">
        <f t="shared" si="1"/>
        <v>00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1" t="str" cm="1">
        <f t="array" ref="AB18">DEC2HEX(SUMPRODUCT(L18:S18,2^{0,1,2,3,4,5,6,7})+SUMPRODUCT(T18:AA18,2^{8,9,10,11,12,13,14,15}),4)</f>
        <v>0000</v>
      </c>
    </row>
    <row r="19" spans="1:28">
      <c r="A19" s="3">
        <v>4</v>
      </c>
      <c r="B19" s="5" t="str">
        <f t="shared" si="0"/>
        <v>0100</v>
      </c>
      <c r="C19" s="2"/>
      <c r="D19" s="2"/>
      <c r="E19" s="2"/>
      <c r="F19" s="2"/>
      <c r="G19" s="2"/>
      <c r="H19" s="2"/>
      <c r="I19" s="2"/>
      <c r="J19" s="2"/>
      <c r="K19" s="1" t="str">
        <f t="shared" si="1"/>
        <v>00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1" t="str" cm="1">
        <f t="array" ref="AB19">DEC2HEX(SUMPRODUCT(L19:S19,2^{0,1,2,3,4,5,6,7})+SUMPRODUCT(T19:AA19,2^{8,9,10,11,12,13,14,15}),4)</f>
        <v>0000</v>
      </c>
    </row>
    <row r="20" spans="1:28">
      <c r="A20" s="3">
        <v>4</v>
      </c>
      <c r="B20" s="5" t="str">
        <f t="shared" si="0"/>
        <v>0100</v>
      </c>
      <c r="C20" s="2"/>
      <c r="D20" s="2"/>
      <c r="E20" s="2"/>
      <c r="F20" s="2"/>
      <c r="G20" s="2"/>
      <c r="H20" s="2"/>
      <c r="I20" s="2"/>
      <c r="J20" s="2"/>
      <c r="K20" s="1" t="str">
        <f t="shared" si="1"/>
        <v>00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1" t="str" cm="1">
        <f t="array" ref="AB20">DEC2HEX(SUMPRODUCT(L20:S20,2^{0,1,2,3,4,5,6,7})+SUMPRODUCT(T20:AA20,2^{8,9,10,11,12,13,14,15}),4)</f>
        <v>0000</v>
      </c>
    </row>
    <row r="21" spans="1:28">
      <c r="A21" s="3">
        <v>4</v>
      </c>
      <c r="B21" s="5" t="str">
        <f t="shared" si="0"/>
        <v>0100</v>
      </c>
      <c r="C21" s="2"/>
      <c r="D21" s="2"/>
      <c r="E21" s="2"/>
      <c r="F21" s="2"/>
      <c r="G21" s="2"/>
      <c r="H21" s="2"/>
      <c r="I21" s="2"/>
      <c r="J21" s="2"/>
      <c r="K21" s="1" t="str">
        <f t="shared" si="1"/>
        <v>00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1" t="str" cm="1">
        <f t="array" ref="AB21">DEC2HEX(SUMPRODUCT(L21:S21,2^{0,1,2,3,4,5,6,7})+SUMPRODUCT(T21:AA21,2^{8,9,10,11,12,13,14,15}),4)</f>
        <v>0000</v>
      </c>
    </row>
    <row r="22" spans="1:28">
      <c r="A22" s="3">
        <v>5</v>
      </c>
      <c r="B22" s="5" t="str">
        <f t="shared" si="0"/>
        <v>0101</v>
      </c>
      <c r="C22" s="2"/>
      <c r="D22" s="2"/>
      <c r="E22" s="2"/>
      <c r="F22" s="2"/>
      <c r="G22" s="2"/>
      <c r="H22" s="2"/>
      <c r="I22" s="2"/>
      <c r="J22" s="2"/>
      <c r="K22" s="1" t="str">
        <f t="shared" si="1"/>
        <v>00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1" t="str" cm="1">
        <f t="array" ref="AB22">DEC2HEX(SUMPRODUCT(L22:S22,2^{0,1,2,3,4,5,6,7})+SUMPRODUCT(T22:AA22,2^{8,9,10,11,12,13,14,15}),4)</f>
        <v>0000</v>
      </c>
    </row>
    <row r="23" spans="1:28">
      <c r="A23" s="3">
        <v>5</v>
      </c>
      <c r="B23" s="5" t="str">
        <f t="shared" si="0"/>
        <v>0101</v>
      </c>
      <c r="C23" s="2"/>
      <c r="D23" s="2"/>
      <c r="E23" s="2"/>
      <c r="F23" s="2"/>
      <c r="G23" s="2"/>
      <c r="H23" s="2"/>
      <c r="I23" s="2"/>
      <c r="J23" s="2"/>
      <c r="K23" s="1" t="str">
        <f t="shared" si="1"/>
        <v>00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1" t="str" cm="1">
        <f t="array" ref="AB23">DEC2HEX(SUMPRODUCT(L23:S23,2^{0,1,2,3,4,5,6,7})+SUMPRODUCT(T23:AA23,2^{8,9,10,11,12,13,14,15}),4)</f>
        <v>0000</v>
      </c>
    </row>
    <row r="24" spans="1:28">
      <c r="A24" s="3">
        <v>5</v>
      </c>
      <c r="B24" s="5" t="str">
        <f t="shared" si="0"/>
        <v>0101</v>
      </c>
      <c r="C24" s="2"/>
      <c r="D24" s="2"/>
      <c r="E24" s="2"/>
      <c r="F24" s="2"/>
      <c r="G24" s="2"/>
      <c r="H24" s="2"/>
      <c r="I24" s="2"/>
      <c r="J24" s="2"/>
      <c r="K24" s="1" t="str">
        <f t="shared" si="1"/>
        <v>00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1" t="str" cm="1">
        <f t="array" ref="AB24">DEC2HEX(SUMPRODUCT(L24:S24,2^{0,1,2,3,4,5,6,7})+SUMPRODUCT(T24:AA24,2^{8,9,10,11,12,13,14,15}),4)</f>
        <v>0000</v>
      </c>
    </row>
    <row r="25" spans="1:28">
      <c r="A25" s="3">
        <v>6</v>
      </c>
      <c r="B25" s="5" t="str">
        <f t="shared" si="0"/>
        <v>0110</v>
      </c>
      <c r="C25" s="2"/>
      <c r="D25" s="2"/>
      <c r="E25" s="2"/>
      <c r="F25" s="2"/>
      <c r="G25" s="2"/>
      <c r="H25" s="2"/>
      <c r="I25" s="2"/>
      <c r="J25" s="2"/>
      <c r="K25" s="1" t="str">
        <f t="shared" si="1"/>
        <v>00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1" t="str" cm="1">
        <f t="array" ref="AB25">DEC2HEX(SUMPRODUCT(L25:S25,2^{0,1,2,3,4,5,6,7})+SUMPRODUCT(T25:AA25,2^{8,9,10,11,12,13,14,15}),4)</f>
        <v>0000</v>
      </c>
    </row>
    <row r="26" spans="1:28">
      <c r="A26" s="3">
        <v>6</v>
      </c>
      <c r="B26" s="5" t="str">
        <f t="shared" si="0"/>
        <v>0110</v>
      </c>
      <c r="C26" s="2"/>
      <c r="D26" s="2"/>
      <c r="E26" s="2"/>
      <c r="F26" s="2"/>
      <c r="G26" s="2"/>
      <c r="H26" s="2"/>
      <c r="I26" s="2"/>
      <c r="J26" s="2"/>
      <c r="K26" s="1" t="str">
        <f t="shared" si="1"/>
        <v>00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1" t="str" cm="1">
        <f t="array" ref="AB26">DEC2HEX(SUMPRODUCT(L26:S26,2^{0,1,2,3,4,5,6,7})+SUMPRODUCT(T26:AA26,2^{8,9,10,11,12,13,14,15}),4)</f>
        <v>0000</v>
      </c>
    </row>
    <row r="27" spans="1:28">
      <c r="A27" s="3">
        <v>6</v>
      </c>
      <c r="B27" s="5" t="str">
        <f t="shared" si="0"/>
        <v>0110</v>
      </c>
      <c r="C27" s="2"/>
      <c r="D27" s="2"/>
      <c r="E27" s="2"/>
      <c r="F27" s="2"/>
      <c r="G27" s="2"/>
      <c r="H27" s="2"/>
      <c r="I27" s="2"/>
      <c r="J27" s="2"/>
      <c r="K27" s="1" t="str">
        <f t="shared" si="1"/>
        <v>00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1" t="str" cm="1">
        <f t="array" ref="AB27">DEC2HEX(SUMPRODUCT(L27:S27,2^{0,1,2,3,4,5,6,7})+SUMPRODUCT(T27:AA27,2^{8,9,10,11,12,13,14,15}),4)</f>
        <v>0000</v>
      </c>
    </row>
    <row r="28" spans="1:28">
      <c r="A28" s="3">
        <v>7</v>
      </c>
      <c r="B28" s="5" t="str">
        <f t="shared" si="0"/>
        <v>0111</v>
      </c>
      <c r="C28" s="2"/>
      <c r="D28" s="2"/>
      <c r="E28" s="2"/>
      <c r="F28" s="2"/>
      <c r="G28" s="2"/>
      <c r="H28" s="2"/>
      <c r="I28" s="2"/>
      <c r="J28" s="2"/>
      <c r="K28" s="1" t="str">
        <f t="shared" si="1"/>
        <v>00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1" t="str" cm="1">
        <f t="array" ref="AB28">DEC2HEX(SUMPRODUCT(L28:S28,2^{0,1,2,3,4,5,6,7})+SUMPRODUCT(T28:AA28,2^{8,9,10,11,12,13,14,15}),4)</f>
        <v>0000</v>
      </c>
    </row>
    <row r="29" spans="1:28">
      <c r="A29" s="3">
        <v>7</v>
      </c>
      <c r="B29" s="5" t="str">
        <f t="shared" si="0"/>
        <v>0111</v>
      </c>
      <c r="C29" s="2"/>
      <c r="D29" s="2"/>
      <c r="E29" s="2"/>
      <c r="F29" s="2"/>
      <c r="G29" s="2"/>
      <c r="H29" s="2"/>
      <c r="I29" s="2"/>
      <c r="J29" s="2"/>
      <c r="K29" s="1" t="str">
        <f t="shared" si="1"/>
        <v>00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1" t="str" cm="1">
        <f t="array" ref="AB29">DEC2HEX(SUMPRODUCT(L29:S29,2^{0,1,2,3,4,5,6,7})+SUMPRODUCT(T29:AA29,2^{8,9,10,11,12,13,14,15}),4)</f>
        <v>0000</v>
      </c>
    </row>
    <row r="30" spans="1:28">
      <c r="A30" s="3">
        <v>7</v>
      </c>
      <c r="B30" s="5" t="str">
        <f t="shared" si="0"/>
        <v>0111</v>
      </c>
      <c r="C30" s="2"/>
      <c r="D30" s="2"/>
      <c r="E30" s="2"/>
      <c r="F30" s="2"/>
      <c r="G30" s="2"/>
      <c r="H30" s="2"/>
      <c r="I30" s="2"/>
      <c r="J30" s="2"/>
      <c r="K30" s="1" t="str">
        <f t="shared" si="1"/>
        <v>00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1" t="str" cm="1">
        <f t="array" ref="AB30">DEC2HEX(SUMPRODUCT(L30:S30,2^{0,1,2,3,4,5,6,7})+SUMPRODUCT(T30:AA30,2^{8,9,10,11,12,13,14,15}),4)</f>
        <v>0000</v>
      </c>
    </row>
    <row r="31" spans="1:28">
      <c r="A31" s="3">
        <v>8</v>
      </c>
      <c r="B31" s="5" t="str">
        <f t="shared" si="0"/>
        <v>1000</v>
      </c>
      <c r="C31" s="2"/>
      <c r="D31" s="2"/>
      <c r="E31" s="2"/>
      <c r="F31" s="2"/>
      <c r="G31" s="2"/>
      <c r="H31" s="2"/>
      <c r="I31" s="2"/>
      <c r="J31" s="2"/>
      <c r="K31" s="1" t="str">
        <f t="shared" si="1"/>
        <v>00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1" t="str" cm="1">
        <f t="array" ref="AB31">DEC2HEX(SUMPRODUCT(L31:S31,2^{0,1,2,3,4,5,6,7})+SUMPRODUCT(T31:AA31,2^{8,9,10,11,12,13,14,15}),4)</f>
        <v>0000</v>
      </c>
    </row>
    <row r="32" spans="1:28">
      <c r="A32" s="3">
        <v>8</v>
      </c>
      <c r="B32" s="5" t="str">
        <f t="shared" si="0"/>
        <v>1000</v>
      </c>
      <c r="C32" s="2"/>
      <c r="D32" s="2"/>
      <c r="E32" s="2"/>
      <c r="F32" s="2"/>
      <c r="G32" s="2"/>
      <c r="H32" s="2"/>
      <c r="I32" s="2"/>
      <c r="J32" s="2"/>
      <c r="K32" s="1" t="str">
        <f t="shared" si="1"/>
        <v>00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1" t="str" cm="1">
        <f t="array" ref="AB32">DEC2HEX(SUMPRODUCT(L32:S32,2^{0,1,2,3,4,5,6,7})+SUMPRODUCT(T32:AA32,2^{8,9,10,11,12,13,14,15}),4)</f>
        <v>0000</v>
      </c>
    </row>
    <row r="33" spans="1:28">
      <c r="A33" s="3">
        <v>8</v>
      </c>
      <c r="B33" s="5" t="str">
        <f t="shared" si="0"/>
        <v>1000</v>
      </c>
      <c r="C33" s="2"/>
      <c r="D33" s="2"/>
      <c r="E33" s="2"/>
      <c r="F33" s="2"/>
      <c r="G33" s="2"/>
      <c r="H33" s="2"/>
      <c r="I33" s="2"/>
      <c r="J33" s="2"/>
      <c r="K33" s="1" t="str">
        <f t="shared" si="1"/>
        <v>00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" t="str" cm="1">
        <f t="array" ref="AB33">DEC2HEX(SUMPRODUCT(L33:S33,2^{0,1,2,3,4,5,6,7})+SUMPRODUCT(T33:AA33,2^{8,9,10,11,12,13,14,15}),4)</f>
        <v>0000</v>
      </c>
    </row>
    <row r="34" spans="1:28">
      <c r="A34" s="3">
        <v>9</v>
      </c>
      <c r="B34" s="5" t="str">
        <f t="shared" si="0"/>
        <v>1001</v>
      </c>
      <c r="K34" s="1" t="str">
        <f t="shared" si="1"/>
        <v>00</v>
      </c>
      <c r="AB34" s="1" t="str" cm="1">
        <f t="array" ref="AB34">DEC2HEX(SUMPRODUCT(L34:S34,2^{0,1,2,3,4,5,6,7})+SUMPRODUCT(T34:AA34,2^{8,9,10,11,12,13,14,15}),4)</f>
        <v>0000</v>
      </c>
    </row>
    <row r="35" spans="1:28">
      <c r="A35" s="3">
        <v>9</v>
      </c>
      <c r="B35" s="5" t="str">
        <f t="shared" si="0"/>
        <v>1001</v>
      </c>
      <c r="K35" s="1" t="str">
        <f t="shared" si="1"/>
        <v>00</v>
      </c>
      <c r="AB35" s="1" t="str" cm="1">
        <f t="array" ref="AB35">DEC2HEX(SUMPRODUCT(L35:S35,2^{0,1,2,3,4,5,6,7})+SUMPRODUCT(T35:AA35,2^{8,9,10,11,12,13,14,15}),4)</f>
        <v>0000</v>
      </c>
    </row>
    <row r="36" spans="1:28">
      <c r="A36" s="3">
        <v>9</v>
      </c>
      <c r="B36" s="5" t="str">
        <f t="shared" si="0"/>
        <v>1001</v>
      </c>
      <c r="K36" s="1" t="str">
        <f t="shared" si="1"/>
        <v>00</v>
      </c>
      <c r="AB36" s="1" t="str" cm="1">
        <f t="array" ref="AB36">DEC2HEX(SUMPRODUCT(L36:S36,2^{0,1,2,3,4,5,6,7})+SUMPRODUCT(T36:AA36,2^{8,9,10,11,12,13,14,15}),4)</f>
        <v>0000</v>
      </c>
    </row>
    <row r="37" spans="1:28">
      <c r="A37" s="3">
        <v>10</v>
      </c>
      <c r="B37" s="5" t="str">
        <f t="shared" si="0"/>
        <v>1010</v>
      </c>
      <c r="K37" s="1" t="str">
        <f t="shared" si="1"/>
        <v>00</v>
      </c>
      <c r="AB37" s="1" t="str" cm="1">
        <f t="array" ref="AB37">DEC2HEX(SUMPRODUCT(L37:S37,2^{0,1,2,3,4,5,6,7})+SUMPRODUCT(T37:AA37,2^{8,9,10,11,12,13,14,15}),4)</f>
        <v>0000</v>
      </c>
    </row>
    <row r="38" spans="1:28">
      <c r="A38" s="3">
        <v>10</v>
      </c>
      <c r="B38" s="5" t="str">
        <f t="shared" si="0"/>
        <v>1010</v>
      </c>
      <c r="K38" s="1" t="str">
        <f t="shared" si="1"/>
        <v>00</v>
      </c>
      <c r="AB38" s="1" t="str" cm="1">
        <f t="array" ref="AB38">DEC2HEX(SUMPRODUCT(L38:S38,2^{0,1,2,3,4,5,6,7})+SUMPRODUCT(T38:AA38,2^{8,9,10,11,12,13,14,15}),4)</f>
        <v>0000</v>
      </c>
    </row>
    <row r="39" spans="1:28">
      <c r="A39" s="3">
        <v>10</v>
      </c>
      <c r="B39" s="5" t="str">
        <f t="shared" si="0"/>
        <v>1010</v>
      </c>
      <c r="K39" s="1" t="str">
        <f t="shared" si="1"/>
        <v>00</v>
      </c>
      <c r="AB39" s="1" t="str" cm="1">
        <f t="array" ref="AB39">DEC2HEX(SUMPRODUCT(L39:S39,2^{0,1,2,3,4,5,6,7})+SUMPRODUCT(T39:AA39,2^{8,9,10,11,12,13,14,15}),4)</f>
        <v>0000</v>
      </c>
    </row>
    <row r="40" spans="1:28">
      <c r="A40" s="3">
        <v>11</v>
      </c>
      <c r="B40" s="5" t="str">
        <f t="shared" si="0"/>
        <v>1011</v>
      </c>
      <c r="K40" s="1" t="str">
        <f t="shared" si="1"/>
        <v>00</v>
      </c>
      <c r="AB40" s="1" t="str" cm="1">
        <f t="array" ref="AB40">DEC2HEX(SUMPRODUCT(L40:S40,2^{0,1,2,3,4,5,6,7})+SUMPRODUCT(T40:AA40,2^{8,9,10,11,12,13,14,15}),4)</f>
        <v>0000</v>
      </c>
    </row>
    <row r="41" spans="1:28">
      <c r="A41" s="3">
        <v>11</v>
      </c>
      <c r="B41" s="5" t="str">
        <f t="shared" si="0"/>
        <v>1011</v>
      </c>
      <c r="K41" s="1" t="str">
        <f t="shared" si="1"/>
        <v>00</v>
      </c>
      <c r="AB41" s="1" t="str" cm="1">
        <f t="array" ref="AB41">DEC2HEX(SUMPRODUCT(L41:S41,2^{0,1,2,3,4,5,6,7})+SUMPRODUCT(T41:AA41,2^{8,9,10,11,12,13,14,15}),4)</f>
        <v>0000</v>
      </c>
    </row>
    <row r="42" spans="1:28">
      <c r="A42" s="3">
        <v>12</v>
      </c>
      <c r="B42" s="5" t="str">
        <f t="shared" si="0"/>
        <v>1100</v>
      </c>
      <c r="K42" s="1" t="str">
        <f t="shared" si="1"/>
        <v>00</v>
      </c>
      <c r="AB42" s="1" t="str" cm="1">
        <f t="array" ref="AB42">DEC2HEX(SUMPRODUCT(L42:S42,2^{0,1,2,3,4,5,6,7})+SUMPRODUCT(T42:AA42,2^{8,9,10,11,12,13,14,15}),4)</f>
        <v>0000</v>
      </c>
    </row>
    <row r="43" spans="1:28">
      <c r="A43" s="3">
        <v>12</v>
      </c>
      <c r="B43" s="5" t="str">
        <f t="shared" si="0"/>
        <v>1100</v>
      </c>
      <c r="K43" s="1" t="str">
        <f t="shared" si="1"/>
        <v>00</v>
      </c>
      <c r="AB43" s="1" t="str" cm="1">
        <f t="array" ref="AB43">DEC2HEX(SUMPRODUCT(L43:S43,2^{0,1,2,3,4,5,6,7})+SUMPRODUCT(T43:AA43,2^{8,9,10,11,12,13,14,15}),4)</f>
        <v>0000</v>
      </c>
    </row>
    <row r="44" spans="1:28">
      <c r="A44" s="3">
        <v>12</v>
      </c>
      <c r="B44" s="5" t="str">
        <f t="shared" si="0"/>
        <v>1100</v>
      </c>
      <c r="K44" s="1" t="str">
        <f t="shared" si="1"/>
        <v>00</v>
      </c>
      <c r="AB44" s="1" t="str" cm="1">
        <f t="array" ref="AB44">DEC2HEX(SUMPRODUCT(L44:S44,2^{0,1,2,3,4,5,6,7})+SUMPRODUCT(T44:AA44,2^{8,9,10,11,12,13,14,15}),4)</f>
        <v>0000</v>
      </c>
    </row>
    <row r="45" spans="1:28">
      <c r="A45" s="3">
        <v>13</v>
      </c>
      <c r="B45" s="5" t="str">
        <f t="shared" si="0"/>
        <v>1101</v>
      </c>
      <c r="K45" s="1" t="str">
        <f t="shared" si="1"/>
        <v>00</v>
      </c>
      <c r="AB45" s="1" t="str" cm="1">
        <f t="array" ref="AB45">DEC2HEX(SUMPRODUCT(L45:S45,2^{0,1,2,3,4,5,6,7})+SUMPRODUCT(T45:AA45,2^{8,9,10,11,12,13,14,15}),4)</f>
        <v>0000</v>
      </c>
    </row>
    <row r="46" spans="1:28">
      <c r="A46" s="3">
        <v>13</v>
      </c>
      <c r="B46" s="5" t="str">
        <f t="shared" si="0"/>
        <v>1101</v>
      </c>
      <c r="K46" s="1" t="str">
        <f t="shared" si="1"/>
        <v>00</v>
      </c>
      <c r="AB46" s="1" t="str" cm="1">
        <f t="array" ref="AB46">DEC2HEX(SUMPRODUCT(L46:S46,2^{0,1,2,3,4,5,6,7})+SUMPRODUCT(T46:AA46,2^{8,9,10,11,12,13,14,15}),4)</f>
        <v>0000</v>
      </c>
    </row>
    <row r="47" spans="1:28">
      <c r="A47" s="3">
        <v>13</v>
      </c>
      <c r="B47" s="5" t="str">
        <f t="shared" si="0"/>
        <v>1101</v>
      </c>
      <c r="K47" s="1" t="str">
        <f t="shared" si="1"/>
        <v>00</v>
      </c>
      <c r="AB47" s="1" t="str" cm="1">
        <f t="array" ref="AB47">DEC2HEX(SUMPRODUCT(L47:S47,2^{0,1,2,3,4,5,6,7})+SUMPRODUCT(T47:AA47,2^{8,9,10,11,12,13,14,15}),4)</f>
        <v>0000</v>
      </c>
    </row>
    <row r="48" spans="1:28">
      <c r="A48" s="3">
        <v>14</v>
      </c>
      <c r="B48" s="5" t="str">
        <f t="shared" si="0"/>
        <v>1110</v>
      </c>
      <c r="C48" s="4" t="s">
        <v>61</v>
      </c>
      <c r="D48" s="2">
        <v>1</v>
      </c>
      <c r="E48" s="2">
        <v>1</v>
      </c>
      <c r="F48" s="2">
        <v>1</v>
      </c>
      <c r="G48" s="2">
        <v>0</v>
      </c>
      <c r="H48" s="2">
        <v>0</v>
      </c>
      <c r="I48" s="2">
        <v>1</v>
      </c>
      <c r="J48" s="2">
        <v>0</v>
      </c>
      <c r="K48" s="1" t="str">
        <f t="shared" si="1"/>
        <v>72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1</v>
      </c>
      <c r="T48" s="2">
        <v>0</v>
      </c>
      <c r="U48" s="2">
        <v>0</v>
      </c>
      <c r="V48" s="2">
        <v>0</v>
      </c>
      <c r="W48" s="2">
        <v>1</v>
      </c>
      <c r="X48" s="2">
        <v>0</v>
      </c>
      <c r="Y48" s="2">
        <v>0</v>
      </c>
      <c r="Z48" s="2">
        <v>0</v>
      </c>
      <c r="AA48" s="2">
        <v>0</v>
      </c>
      <c r="AB48" s="1" t="str" cm="1">
        <f t="array" ref="AB48">DEC2HEX(SUMPRODUCT(L48:S48,2^{0,1,2,3,4,5,6,7})+SUMPRODUCT(T48:AA48,2^{8,9,10,11,12,13,14,15}),4)</f>
        <v>0880</v>
      </c>
    </row>
    <row r="49" spans="1:28">
      <c r="A49" s="3">
        <v>14</v>
      </c>
      <c r="B49" s="5"/>
      <c r="C49" s="5"/>
      <c r="D49" s="2">
        <v>1</v>
      </c>
      <c r="E49" s="2">
        <v>1</v>
      </c>
      <c r="F49" s="2">
        <v>1</v>
      </c>
      <c r="G49" s="2">
        <v>0</v>
      </c>
      <c r="H49" s="2">
        <v>0</v>
      </c>
      <c r="I49" s="2">
        <v>1</v>
      </c>
      <c r="J49" s="2">
        <v>1</v>
      </c>
      <c r="K49" s="1" t="str">
        <f t="shared" si="1"/>
        <v>73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1" t="str" cm="1">
        <f t="array" ref="AB49">DEC2HEX(SUMPRODUCT(L49:S49,2^{0,1,2,3,4,5,6,7})+SUMPRODUCT(T49:AA49,2^{8,9,10,11,12,13,14,15}),4)</f>
        <v>0000</v>
      </c>
    </row>
    <row r="50" spans="1:28">
      <c r="A50" s="3">
        <v>14</v>
      </c>
      <c r="B50" s="5"/>
      <c r="C50" s="6"/>
      <c r="D50" s="2">
        <v>1</v>
      </c>
      <c r="E50" s="2">
        <v>1</v>
      </c>
      <c r="F50" s="2">
        <v>1</v>
      </c>
      <c r="G50" s="2">
        <v>0</v>
      </c>
      <c r="H50" s="2">
        <v>1</v>
      </c>
      <c r="I50" s="2">
        <v>0</v>
      </c>
      <c r="J50" s="2">
        <v>0</v>
      </c>
      <c r="K50" s="1" t="str">
        <f t="shared" si="1"/>
        <v>74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1" t="str" cm="1">
        <f t="array" ref="AB50">DEC2HEX(SUMPRODUCT(L50:S50,2^{0,1,2,3,4,5,6,7})+SUMPRODUCT(T50:AA50,2^{8,9,10,11,12,13,14,15}),4)</f>
        <v>0000</v>
      </c>
    </row>
    <row r="51" spans="1:28">
      <c r="A51" s="3">
        <v>15</v>
      </c>
      <c r="B51" s="5" t="str">
        <f t="shared" si="0"/>
        <v>1111</v>
      </c>
      <c r="C51" s="4" t="s">
        <v>42</v>
      </c>
      <c r="D51" s="2">
        <v>1</v>
      </c>
      <c r="E51" s="2">
        <v>1</v>
      </c>
      <c r="F51" s="2">
        <v>1</v>
      </c>
      <c r="G51" s="2">
        <v>1</v>
      </c>
      <c r="H51" s="2">
        <v>0</v>
      </c>
      <c r="I51" s="2">
        <v>1</v>
      </c>
      <c r="J51" s="2">
        <v>0</v>
      </c>
      <c r="K51" s="1" t="str">
        <f t="shared" si="1"/>
        <v>7A</v>
      </c>
      <c r="L51" s="2">
        <v>1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1" t="str" cm="1">
        <f t="array" ref="AB51">DEC2HEX(SUMPRODUCT(L51:S51,2^{0,1,2,3,4,5,6,7})+SUMPRODUCT(T51:AA51,2^{8,9,10,11,12,13,14,15}),4)</f>
        <v>0001</v>
      </c>
    </row>
    <row r="52" spans="1:28">
      <c r="A52" s="3">
        <v>15</v>
      </c>
      <c r="B52" s="5" t="str">
        <f t="shared" si="0"/>
        <v>1111</v>
      </c>
      <c r="C52" s="5"/>
      <c r="D52" s="2">
        <v>1</v>
      </c>
      <c r="E52" s="2">
        <v>1</v>
      </c>
      <c r="F52" s="2">
        <v>1</v>
      </c>
      <c r="G52" s="2">
        <v>1</v>
      </c>
      <c r="H52" s="2">
        <v>0</v>
      </c>
      <c r="I52" s="2">
        <v>1</v>
      </c>
      <c r="J52" s="2">
        <v>1</v>
      </c>
      <c r="K52" s="1" t="str">
        <f t="shared" si="1"/>
        <v>7B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1" t="str" cm="1">
        <f t="array" ref="AB52">DEC2HEX(SUMPRODUCT(L52:S52,2^{0,1,2,3,4,5,6,7})+SUMPRODUCT(T52:AA52,2^{8,9,10,11,12,13,14,15}),4)</f>
        <v>0000</v>
      </c>
    </row>
    <row r="53" spans="1:28">
      <c r="A53" s="3">
        <v>15</v>
      </c>
      <c r="B53" s="5" t="str">
        <f t="shared" si="0"/>
        <v>1111</v>
      </c>
      <c r="C53" s="6"/>
      <c r="D53" s="2">
        <v>1</v>
      </c>
      <c r="E53" s="2">
        <v>1</v>
      </c>
      <c r="F53" s="2">
        <v>1</v>
      </c>
      <c r="G53" s="2">
        <v>1</v>
      </c>
      <c r="H53" s="2">
        <v>1</v>
      </c>
      <c r="I53" s="2">
        <v>0</v>
      </c>
      <c r="J53" s="2">
        <v>0</v>
      </c>
      <c r="K53" s="1" t="str">
        <f t="shared" si="1"/>
        <v>7C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1" t="str" cm="1">
        <f t="array" ref="AB53">DEC2HEX(SUMPRODUCT(L53:S53,2^{0,1,2,3,4,5,6,7})+SUMPRODUCT(T53:AA53,2^{8,9,10,11,12,13,14,15}),4)</f>
        <v>0000</v>
      </c>
    </row>
    <row r="58" spans="1:28">
      <c r="C58" s="1" t="s">
        <v>65</v>
      </c>
    </row>
    <row r="60" spans="1:28">
      <c r="C60" s="1" t="s">
        <v>62</v>
      </c>
      <c r="D60" s="1" t="s">
        <v>15</v>
      </c>
      <c r="E60" s="1" t="s">
        <v>14</v>
      </c>
      <c r="F60" s="1" t="s">
        <v>13</v>
      </c>
      <c r="G60" s="1" t="s">
        <v>12</v>
      </c>
      <c r="H60" s="1" t="s">
        <v>11</v>
      </c>
      <c r="I60" s="1" t="s">
        <v>10</v>
      </c>
      <c r="J60" s="1" t="s">
        <v>9</v>
      </c>
      <c r="K60" s="1" t="s">
        <v>8</v>
      </c>
    </row>
    <row r="61" spans="1:28">
      <c r="B61" s="1" t="str">
        <f>DEC2BIN(C61,4)</f>
        <v>0000</v>
      </c>
      <c r="C61" s="1">
        <v>0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1</v>
      </c>
      <c r="J61" s="1">
        <v>1</v>
      </c>
      <c r="K61" s="1">
        <v>0</v>
      </c>
      <c r="L61" s="1" t="str">
        <f>DEC2HEX(BIN2DEC(_xlfn.TEXTJOIN("",TRUE,D61:G61,H61:K61)),2)</f>
        <v>1E</v>
      </c>
      <c r="M61" s="1" t="s">
        <v>59</v>
      </c>
      <c r="N61" s="1">
        <v>15</v>
      </c>
    </row>
    <row r="62" spans="1:28">
      <c r="B62" s="1" t="str">
        <f t="shared" ref="B62:B76" si="2">DEC2BIN(C62,4)</f>
        <v>0001</v>
      </c>
      <c r="C62" s="1">
        <v>1</v>
      </c>
      <c r="D62" s="1">
        <v>0</v>
      </c>
      <c r="E62" s="1">
        <v>0</v>
      </c>
      <c r="F62" s="1">
        <v>1</v>
      </c>
      <c r="G62" s="1">
        <v>0</v>
      </c>
      <c r="H62" s="1">
        <v>1</v>
      </c>
      <c r="I62" s="1">
        <v>1</v>
      </c>
      <c r="J62" s="1">
        <v>1</v>
      </c>
      <c r="K62" s="1">
        <v>1</v>
      </c>
      <c r="L62" s="1" t="str">
        <f>DEC2HEX(BIN2DEC(_xlfn.TEXTJOIN("",TRUE,D62:G62,H62:K62)),2)</f>
        <v>2F</v>
      </c>
      <c r="M62" s="1" t="s">
        <v>60</v>
      </c>
      <c r="N62" s="1">
        <v>14</v>
      </c>
    </row>
    <row r="63" spans="1:28">
      <c r="B63" s="1" t="str">
        <f t="shared" si="2"/>
        <v>0010</v>
      </c>
      <c r="C63" s="1">
        <v>2</v>
      </c>
      <c r="D63" s="1">
        <v>1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 t="str">
        <f>DEC2HEX(BIN2DEC(_xlfn.TEXTJOIN("",TRUE,D63:G63,H63:K63)),2)</f>
        <v>E0</v>
      </c>
      <c r="M63" s="1" t="s">
        <v>61</v>
      </c>
    </row>
    <row r="64" spans="1:28">
      <c r="B64" s="1" t="str">
        <f t="shared" si="2"/>
        <v>0011</v>
      </c>
      <c r="C64" s="1">
        <v>3</v>
      </c>
      <c r="D64" s="1">
        <v>1</v>
      </c>
      <c r="E64" s="1">
        <v>1</v>
      </c>
      <c r="F64" s="1">
        <v>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 t="str">
        <f>DEC2HEX(BIN2DEC(_xlfn.TEXTJOIN("",TRUE,D64:G64,H64:K64)),2)</f>
        <v>F0</v>
      </c>
      <c r="M64" s="1" t="s">
        <v>42</v>
      </c>
    </row>
    <row r="65" spans="2:12">
      <c r="B65" s="1" t="str">
        <f t="shared" si="2"/>
        <v>0100</v>
      </c>
      <c r="C65" s="1">
        <v>4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 t="str">
        <f>DEC2HEX(BIN2DEC(_xlfn.TEXTJOIN("",TRUE,D65:G65,H65:K65)),2)</f>
        <v>00</v>
      </c>
    </row>
    <row r="66" spans="2:12">
      <c r="B66" s="1" t="str">
        <f t="shared" si="2"/>
        <v>0101</v>
      </c>
      <c r="C66" s="1">
        <v>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 t="str">
        <f>DEC2HEX(BIN2DEC(_xlfn.TEXTJOIN("",TRUE,D66:G66,H66:K66)),2)</f>
        <v>00</v>
      </c>
    </row>
    <row r="67" spans="2:12">
      <c r="B67" s="1" t="str">
        <f t="shared" si="2"/>
        <v>0110</v>
      </c>
      <c r="C67" s="1">
        <v>6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 t="str">
        <f>DEC2HEX(BIN2DEC(_xlfn.TEXTJOIN("",TRUE,D67:G67,H67:K67)),2)</f>
        <v>00</v>
      </c>
    </row>
    <row r="68" spans="2:12">
      <c r="B68" s="1" t="str">
        <f t="shared" si="2"/>
        <v>0111</v>
      </c>
      <c r="C68" s="1">
        <v>7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 t="str">
        <f>DEC2HEX(BIN2DEC(_xlfn.TEXTJOIN("",TRUE,D68:G68,H68:K68)),2)</f>
        <v>00</v>
      </c>
    </row>
    <row r="69" spans="2:12">
      <c r="B69" s="1" t="str">
        <f t="shared" si="2"/>
        <v>1000</v>
      </c>
      <c r="C69" s="1">
        <v>8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 t="str">
        <f>DEC2HEX(BIN2DEC(_xlfn.TEXTJOIN("",TRUE,D69:G69,H69:K69)),2)</f>
        <v>00</v>
      </c>
    </row>
    <row r="70" spans="2:12">
      <c r="B70" s="1" t="str">
        <f t="shared" si="2"/>
        <v>1001</v>
      </c>
      <c r="C70" s="1">
        <v>9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 t="str">
        <f>DEC2HEX(BIN2DEC(_xlfn.TEXTJOIN("",TRUE,D70:G70,H70:K70)),2)</f>
        <v>00</v>
      </c>
    </row>
    <row r="71" spans="2:12">
      <c r="B71" s="1" t="str">
        <f t="shared" si="2"/>
        <v>1010</v>
      </c>
      <c r="C71" s="1">
        <v>10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 t="str">
        <f>DEC2HEX(BIN2DEC(_xlfn.TEXTJOIN("",TRUE,D71:G71,H71:K71)),2)</f>
        <v>00</v>
      </c>
    </row>
    <row r="72" spans="2:12">
      <c r="B72" s="1" t="str">
        <f t="shared" si="2"/>
        <v>1011</v>
      </c>
      <c r="C72" s="1">
        <v>11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 t="str">
        <f>DEC2HEX(BIN2DEC(_xlfn.TEXTJOIN("",TRUE,D72:G72,H72:K72)),2)</f>
        <v>00</v>
      </c>
    </row>
    <row r="73" spans="2:12">
      <c r="B73" s="1" t="str">
        <f t="shared" si="2"/>
        <v>1100</v>
      </c>
      <c r="C73" s="1">
        <v>12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 t="str">
        <f>DEC2HEX(BIN2DEC(_xlfn.TEXTJOIN("",TRUE,D73:G73,H73:K73)),2)</f>
        <v>00</v>
      </c>
    </row>
    <row r="74" spans="2:12">
      <c r="B74" s="1" t="str">
        <f t="shared" si="2"/>
        <v>1101</v>
      </c>
      <c r="C74" s="1">
        <v>13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 t="str">
        <f>DEC2HEX(BIN2DEC(_xlfn.TEXTJOIN("",TRUE,D74:G74,H74:K74)),2)</f>
        <v>00</v>
      </c>
    </row>
    <row r="75" spans="2:12">
      <c r="B75" s="1" t="str">
        <f t="shared" si="2"/>
        <v>1110</v>
      </c>
      <c r="C75" s="1">
        <v>14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 t="str">
        <f>DEC2HEX(BIN2DEC(_xlfn.TEXTJOIN("",TRUE,D75:G75,H75:K75)),2)</f>
        <v>1C</v>
      </c>
    </row>
    <row r="76" spans="2:12">
      <c r="B76" s="1" t="str">
        <f t="shared" si="2"/>
        <v>1111</v>
      </c>
      <c r="C76" s="1">
        <v>15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0</v>
      </c>
      <c r="L76" s="1" t="str">
        <f>DEC2HEX(BIN2DEC(_xlfn.TEXTJOIN("",TRUE,D76:G76,H76:K76)),2)</f>
        <v>0E</v>
      </c>
    </row>
  </sheetData>
  <mergeCells count="41">
    <mergeCell ref="A52:A53"/>
    <mergeCell ref="A37:A39"/>
    <mergeCell ref="A40:A42"/>
    <mergeCell ref="A43:A45"/>
    <mergeCell ref="A46:A48"/>
    <mergeCell ref="A49:A51"/>
    <mergeCell ref="A22:A24"/>
    <mergeCell ref="A25:A27"/>
    <mergeCell ref="A28:A30"/>
    <mergeCell ref="A31:A33"/>
    <mergeCell ref="A34:A36"/>
    <mergeCell ref="A7:A9"/>
    <mergeCell ref="A10:A12"/>
    <mergeCell ref="A13:A15"/>
    <mergeCell ref="A16:A18"/>
    <mergeCell ref="A19:A21"/>
    <mergeCell ref="B48:B50"/>
    <mergeCell ref="B51:B53"/>
    <mergeCell ref="B7:B9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7"/>
    <mergeCell ref="C13:C15"/>
    <mergeCell ref="C48:C50"/>
    <mergeCell ref="C51:C53"/>
    <mergeCell ref="C7:C9"/>
    <mergeCell ref="L1:Z1"/>
    <mergeCell ref="D4:G4"/>
    <mergeCell ref="H4:J4"/>
    <mergeCell ref="C5:C6"/>
    <mergeCell ref="C10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</dc:creator>
  <cp:lastModifiedBy>Arvind Anirudh</cp:lastModifiedBy>
  <dcterms:created xsi:type="dcterms:W3CDTF">2026-10-22T07:44:39Z</dcterms:created>
  <dcterms:modified xsi:type="dcterms:W3CDTF">2026-10-23T03:03:01Z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63F917DBB3684C9EB7FAFE9DA0581829_11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