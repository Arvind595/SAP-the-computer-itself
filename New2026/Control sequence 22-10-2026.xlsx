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<sst xmlns="http://schemas.openxmlformats.org/spreadsheetml/2006/main" count="100" uniqueCount="80">
  <si>
    <t>Control Signal net name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</si>
  <si>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</si>
  <si>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</si>
  <si>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</si>
  <si>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</si>
  <si>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</si>
  <si>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</si>
  <si>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</si>
  <si>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</si>
  <si>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</si>
  <si>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D15</t>
  </si>
  <si>
    <t>D14</t>
  </si>
  <si>
    <t>D13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</si>
  <si>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</si>
  <si>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</si>
  <si>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</si>
  <si>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</si>
  <si>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</si>
  <si>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</si>
  <si>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</si>
  <si>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</si>
  <si>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</si>
  <si>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</si>
  <si>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</si>
  <si>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</si>
  <si>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D0</t>
  </si>
  <si>
    <t>Instruction Bits(high Nibble)</t>
  </si>
  <si>
    <t>Step (T0 - T3)</t>
  </si>
  <si>
    <t>Carry Flag</t>
  </si>
  <si>
    <t>Zero Flag</t>
  </si>
  <si>
    <t>Halt</t>
  </si>
  <si>
    <t>MAR In</t>
  </si>
  <si>
    <t>Ram In</t>
  </si>
  <si>
    <t>Ram Out</t>
  </si>
  <si>
    <t>Inst Out</t>
  </si>
  <si>
    <t>Inst In</t>
  </si>
  <si>
    <t>A reg In</t>
  </si>
  <si>
    <t>A reg Out</t>
  </si>
  <si>
    <t>Sum reg Out</t>
  </si>
  <si>
    <t>Subtract En</t>
  </si>
  <si>
    <t>B reg In</t>
  </si>
  <si>
    <t>output reg In</t>
  </si>
  <si>
    <t>Count En</t>
  </si>
  <si>
    <t>Count Out</t>
  </si>
  <si>
    <t>Jump En</t>
  </si>
  <si>
    <t>B reg out</t>
  </si>
  <si>
    <t>OPCODE</t>
  </si>
  <si>
    <t>executed instruction</t>
  </si>
  <si>
    <t>CF</t>
  </si>
  <si>
    <t>ZF</t>
  </si>
  <si>
    <t>HLT</t>
  </si>
  <si>
    <t>MI</t>
  </si>
  <si>
    <t>RI</t>
  </si>
  <si>
    <t>RO</t>
  </si>
  <si>
    <t>IO</t>
  </si>
  <si>
    <t>II</t>
  </si>
  <si>
    <t>AI</t>
  </si>
  <si>
    <t>AO</t>
  </si>
  <si>
    <t>SO</t>
  </si>
  <si>
    <t>SU</t>
  </si>
  <si>
    <t>BI</t>
  </si>
  <si>
    <t>OI</t>
  </si>
  <si>
    <t>CE</t>
  </si>
  <si>
    <t>CO</t>
  </si>
  <si>
    <t>JE</t>
  </si>
  <si>
    <t>FI</t>
  </si>
  <si>
    <t>BO</t>
  </si>
  <si>
    <t>Hex Value</t>
  </si>
  <si>
    <t>Fetch</t>
  </si>
  <si>
    <t>x</t>
  </si>
  <si>
    <t>NOP</t>
  </si>
  <si>
    <t>LDA</t>
  </si>
  <si>
    <t>ADD</t>
  </si>
  <si>
    <t>SUB</t>
  </si>
  <si>
    <t>STA</t>
  </si>
  <si>
    <t>LDI</t>
  </si>
  <si>
    <t>JMP</t>
  </si>
  <si>
    <t>OUT</t>
  </si>
  <si>
    <t>Program Code</t>
  </si>
  <si>
    <t>Location in 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</si>
</sst>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81688894314"/>
  </sheetPr>
  <dimension ref="A1:AE76"/>
  <sheetViews>
    <sheetView tabSelected="1" zoomScale="123" zoomScaleNormal="123" workbookViewId="0">
      <selection activeCell="M9" sqref="M9"/>
    </sheetView>
  </sheetViews>
  <sheetFormatPr defaultColWidth="9.1047619047619" defaultRowHeight="15"/>
  <cols>
    <col min="1" max="2" width="9.1047619047619" style="1"/>
    <col min="3" max="3" width="26.3333333333333" style="1" customWidth="1"/>
    <col min="4" max="12" width="7.66666666666667" style="1" customWidth="1"/>
    <col min="13" max="13" width="9.1047619047619" style="1"/>
    <col min="14" max="14" width="5.66666666666667" style="1" customWidth="1"/>
    <col min="15" max="16" width="8.1047619047619" style="1" customWidth="1"/>
    <col min="17" max="17" width="9.21904761904762" style="1" customWidth="1"/>
    <col min="18" max="18" width="10.4380952380952" style="1" customWidth="1"/>
    <col min="19" max="19" width="9.21904761904762" style="1" customWidth="1"/>
    <col min="20" max="20" width="10.4380952380952" style="1" customWidth="1"/>
    <col min="21" max="21" width="11.552380952381" style="1" customWidth="1"/>
    <col min="22" max="23" width="13.8857142857143" style="1" customWidth="1"/>
    <col min="24" max="24" width="10.4380952380952" style="1" customWidth="1"/>
    <col min="25" max="25" width="16.3333333333333" style="1" customWidth="1"/>
    <col min="26" max="26" width="10.4380952380952" style="1" customWidth="1"/>
    <col min="27" max="27" width="11.552380952381" style="1" customWidth="1"/>
    <col min="28" max="28" width="9.21904761904762" style="1" customWidth="1"/>
    <col min="29" max="31" width="12.1428571428571" style="1" customWidth="1"/>
    <col min="32" max="16384" width="9.1047619047619" style="1"/>
  </cols>
  <sheetData>
    <row r="1" spans="1:3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2"/>
      <c r="AE1" s="2"/>
    </row>
    <row r="2" spans="1:31">
      <c r="A2" s="2"/>
      <c r="B2" s="2"/>
      <c r="C2" s="2"/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2" t="s">
        <v>8</v>
      </c>
      <c r="L2" s="2" t="s">
        <v>9</v>
      </c>
      <c r="M2" s="2"/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20</v>
      </c>
      <c r="Y2" s="3" t="s">
        <v>21</v>
      </c>
      <c r="Z2" s="3" t="s">
        <v>22</v>
      </c>
      <c r="AA2" s="3" t="s">
        <v>23</v>
      </c>
      <c r="AB2" s="3" t="s">
        <v>24</v>
      </c>
      <c r="AC2" s="3" t="s">
        <v>25</v>
      </c>
      <c r="AD2" s="2"/>
      <c r="AE2" s="2"/>
    </row>
    <row r="3" spans="1:31">
      <c r="A3" s="2"/>
      <c r="B3" s="2"/>
      <c r="C3" s="2"/>
      <c r="D3" s="4" t="s">
        <v>26</v>
      </c>
      <c r="E3" s="5"/>
      <c r="F3" s="5"/>
      <c r="G3" s="5"/>
      <c r="H3" s="3" t="s">
        <v>27</v>
      </c>
      <c r="I3" s="3"/>
      <c r="J3" s="3"/>
      <c r="K3" s="2" t="s">
        <v>28</v>
      </c>
      <c r="L3" s="2" t="s">
        <v>29</v>
      </c>
      <c r="M3" s="2"/>
      <c r="N3" s="3" t="s">
        <v>30</v>
      </c>
      <c r="O3" s="3" t="s">
        <v>31</v>
      </c>
      <c r="P3" s="3" t="s">
        <v>32</v>
      </c>
      <c r="Q3" s="3" t="s">
        <v>33</v>
      </c>
      <c r="R3" s="3" t="s">
        <v>34</v>
      </c>
      <c r="S3" s="3" t="s">
        <v>35</v>
      </c>
      <c r="T3" s="3" t="s">
        <v>36</v>
      </c>
      <c r="U3" s="3" t="s">
        <v>37</v>
      </c>
      <c r="V3" s="3" t="s">
        <v>38</v>
      </c>
      <c r="W3" s="3" t="s">
        <v>39</v>
      </c>
      <c r="X3" s="3" t="s">
        <v>40</v>
      </c>
      <c r="Y3" s="3" t="s">
        <v>41</v>
      </c>
      <c r="Z3" s="3" t="s">
        <v>42</v>
      </c>
      <c r="AA3" s="3" t="s">
        <v>43</v>
      </c>
      <c r="AB3" s="3" t="s">
        <v>44</v>
      </c>
      <c r="AC3" s="3" t="s">
        <v>45</v>
      </c>
      <c r="AD3" s="2"/>
      <c r="AE3" s="2"/>
    </row>
    <row r="4" spans="1:31">
      <c r="A4" s="2"/>
      <c r="B4" s="2" t="s">
        <v>46</v>
      </c>
      <c r="C4" s="3" t="s">
        <v>47</v>
      </c>
      <c r="D4" s="6"/>
      <c r="E4" s="6"/>
      <c r="F4" s="6"/>
      <c r="G4" s="6"/>
      <c r="H4" s="7"/>
      <c r="I4" s="7"/>
      <c r="J4" s="7"/>
      <c r="K4" s="2" t="s">
        <v>48</v>
      </c>
      <c r="L4" s="2" t="s">
        <v>49</v>
      </c>
      <c r="M4" s="2"/>
      <c r="N4" s="3" t="s">
        <v>50</v>
      </c>
      <c r="O4" s="3" t="s">
        <v>51</v>
      </c>
      <c r="P4" s="3" t="s">
        <v>52</v>
      </c>
      <c r="Q4" s="3" t="s">
        <v>53</v>
      </c>
      <c r="R4" s="3" t="s">
        <v>54</v>
      </c>
      <c r="S4" s="3" t="s">
        <v>55</v>
      </c>
      <c r="T4" s="3" t="s">
        <v>56</v>
      </c>
      <c r="U4" s="3" t="s">
        <v>57</v>
      </c>
      <c r="V4" s="3" t="s">
        <v>58</v>
      </c>
      <c r="W4" s="3" t="s">
        <v>59</v>
      </c>
      <c r="X4" s="3" t="s">
        <v>60</v>
      </c>
      <c r="Y4" s="3" t="s">
        <v>61</v>
      </c>
      <c r="Z4" s="3" t="s">
        <v>62</v>
      </c>
      <c r="AA4" s="3" t="s">
        <v>63</v>
      </c>
      <c r="AB4" s="3" t="s">
        <v>64</v>
      </c>
      <c r="AC4" s="3" t="s">
        <v>65</v>
      </c>
      <c r="AD4" s="2" t="s">
        <v>66</v>
      </c>
      <c r="AE4" s="2" t="s">
        <v>67</v>
      </c>
    </row>
    <row r="5" spans="1:31">
      <c r="A5" s="2"/>
      <c r="B5" s="2"/>
      <c r="C5" s="3" t="s">
        <v>68</v>
      </c>
      <c r="D5" s="3" t="s">
        <v>69</v>
      </c>
      <c r="E5" s="3" t="s">
        <v>69</v>
      </c>
      <c r="F5" s="3" t="s">
        <v>69</v>
      </c>
      <c r="G5" s="3" t="s">
        <v>69</v>
      </c>
      <c r="H5" s="3">
        <v>0</v>
      </c>
      <c r="I5" s="3">
        <v>0</v>
      </c>
      <c r="J5" s="3">
        <v>0</v>
      </c>
      <c r="K5" s="2"/>
      <c r="L5" s="2"/>
      <c r="M5" s="2"/>
      <c r="N5" s="3">
        <v>0</v>
      </c>
      <c r="O5" s="3">
        <v>1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1</v>
      </c>
      <c r="AB5" s="3">
        <v>0</v>
      </c>
      <c r="AC5" s="3">
        <v>0</v>
      </c>
      <c r="AD5" s="2"/>
      <c r="AE5" s="2" t="str" cm="1">
        <f t="array" ref="AE5" xml:space="preserve">DEC2HEX(SUMPRODUCT(N5:U5,2^{0,1,2,3,4,5,6,7})+SUMPRODUCT(V5:AC5,2^{8,9,10,11,12,13,14,15}),4)</f>
        <v>2002</v>
      </c>
    </row>
    <row r="6" spans="1:31">
      <c r="A6" s="2"/>
      <c r="B6" s="2"/>
      <c r="C6" s="3"/>
      <c r="D6" s="3" t="s">
        <v>69</v>
      </c>
      <c r="E6" s="3" t="s">
        <v>69</v>
      </c>
      <c r="F6" s="3" t="s">
        <v>69</v>
      </c>
      <c r="G6" s="3" t="s">
        <v>69</v>
      </c>
      <c r="H6" s="3">
        <v>0</v>
      </c>
      <c r="I6" s="3">
        <v>0</v>
      </c>
      <c r="J6" s="3">
        <v>1</v>
      </c>
      <c r="K6" s="2"/>
      <c r="L6" s="2"/>
      <c r="M6" s="2"/>
      <c r="N6" s="3">
        <v>0</v>
      </c>
      <c r="O6" s="3">
        <v>0</v>
      </c>
      <c r="P6" s="3">
        <v>0</v>
      </c>
      <c r="Q6" s="3">
        <v>1</v>
      </c>
      <c r="R6" s="3">
        <v>0</v>
      </c>
      <c r="S6" s="3">
        <v>1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1</v>
      </c>
      <c r="AA6" s="3">
        <v>0</v>
      </c>
      <c r="AB6" s="3">
        <v>0</v>
      </c>
      <c r="AC6" s="3">
        <v>0</v>
      </c>
      <c r="AD6" s="2"/>
      <c r="AE6" s="2" t="str" cm="1">
        <f t="array" ref="AE6" xml:space="preserve">DEC2HEX(SUMPRODUCT(N6:U6,2^{0,1,2,3,4,5,6,7})+SUMPRODUCT(V6:AC6,2^{8,9,10,11,12,13,14,15}),4)</f>
        <v>1028</v>
      </c>
    </row>
    <row r="7" spans="1:31">
      <c r="A7" s="3">
        <v>0</v>
      </c>
      <c r="B7" s="3" t="str">
        <f xml:space="preserve">DEC2BIN(A7,4)</f>
        <v>0000</v>
      </c>
      <c r="C7" s="3" t="s">
        <v>70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>
        <v>0</v>
      </c>
      <c r="K7" s="2"/>
      <c r="L7" s="2"/>
      <c r="M7" s="2" t="str">
        <f xml:space="preserve">DEC2HEX(BIN2DEC(_xlfn.TEXTJOIN("",TRUE,D7:L7)),2)</f>
        <v>02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2"/>
      <c r="AE7" s="2" t="str" cm="1">
        <f t="array" ref="AE7" xml:space="preserve">DEC2HEX(SUMPRODUCT(N7:U7,2^{0,1,2,3,4,5,6,7})+SUMPRODUCT(V7:AC7,2^{8,9,10,11,12,13,14,15}),4)</f>
        <v>0000</v>
      </c>
    </row>
    <row r="8" spans="1:31">
      <c r="A8" s="3">
        <v>0</v>
      </c>
      <c r="B8" s="3" t="str">
        <f t="shared" ref="B8:B53" si="0" xml:space="preserve">DEC2BIN(A8,4)</f>
        <v>0000</v>
      </c>
      <c r="C8" s="3"/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3">
        <v>1</v>
      </c>
      <c r="K8" s="2"/>
      <c r="L8" s="2"/>
      <c r="M8" s="2" t="str">
        <f t="shared" ref="M8:M54" si="1" xml:space="preserve">DEC2HEX(BIN2DEC(_xlfn.TEXTJOIN("",TRUE,D8:L8)),2)</f>
        <v>03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2"/>
      <c r="AE8" s="2" t="str" cm="1">
        <f t="array" ref="AE8" xml:space="preserve">DEC2HEX(SUMPRODUCT(N8:U8,2^{0,1,2,3,4,5,6,7})+SUMPRODUCT(V8:AC8,2^{8,9,10,11,12,13,14,15}),4)</f>
        <v>0000</v>
      </c>
    </row>
    <row r="9" spans="1:31">
      <c r="A9" s="3">
        <v>0</v>
      </c>
      <c r="B9" s="3" t="str">
        <f t="shared" si="0"/>
        <v>0000</v>
      </c>
      <c r="C9" s="3"/>
      <c r="D9" s="3">
        <v>0</v>
      </c>
      <c r="E9" s="3">
        <v>0</v>
      </c>
      <c r="F9" s="3">
        <v>0</v>
      </c>
      <c r="G9" s="3">
        <v>0</v>
      </c>
      <c r="H9" s="3">
        <v>1</v>
      </c>
      <c r="I9" s="3">
        <v>0</v>
      </c>
      <c r="J9" s="3">
        <v>0</v>
      </c>
      <c r="K9" s="2"/>
      <c r="L9" s="2"/>
      <c r="M9" s="2" t="str">
        <f t="shared" si="1"/>
        <v>04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2"/>
      <c r="AE9" s="2" t="str" cm="1">
        <f t="array" ref="AE9" xml:space="preserve">DEC2HEX(SUMPRODUCT(N9:U9,2^{0,1,2,3,4,5,6,7})+SUMPRODUCT(V9:AC9,2^{8,9,10,11,12,13,14,15}),4)</f>
        <v>0000</v>
      </c>
    </row>
    <row r="10" spans="1:31">
      <c r="A10" s="3">
        <v>1</v>
      </c>
      <c r="B10" s="3" t="str">
        <f t="shared" si="0"/>
        <v>0001</v>
      </c>
      <c r="C10" s="3" t="s">
        <v>71</v>
      </c>
      <c r="D10" s="3">
        <v>0</v>
      </c>
      <c r="E10" s="3">
        <v>0</v>
      </c>
      <c r="F10" s="3">
        <v>0</v>
      </c>
      <c r="G10" s="3">
        <v>1</v>
      </c>
      <c r="H10" s="3">
        <v>0</v>
      </c>
      <c r="I10" s="3">
        <v>1</v>
      </c>
      <c r="J10" s="3">
        <v>0</v>
      </c>
      <c r="K10" s="2"/>
      <c r="L10" s="2"/>
      <c r="M10" s="2" t="str">
        <f t="shared" si="1"/>
        <v>0A</v>
      </c>
      <c r="N10" s="3">
        <v>0</v>
      </c>
      <c r="O10" s="3">
        <v>1</v>
      </c>
      <c r="P10" s="3">
        <v>0</v>
      </c>
      <c r="Q10" s="3">
        <v>0</v>
      </c>
      <c r="R10" s="3">
        <v>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2"/>
      <c r="AE10" s="2" t="str" cm="1">
        <f t="array" ref="AE10" xml:space="preserve">DEC2HEX(SUMPRODUCT(N10:U10,2^{0,1,2,3,4,5,6,7})+SUMPRODUCT(V10:AC10,2^{8,9,10,11,12,13,14,15}),4)</f>
        <v>0012</v>
      </c>
    </row>
    <row r="11" spans="1:31">
      <c r="A11" s="3">
        <v>1</v>
      </c>
      <c r="B11" s="3" t="str">
        <f t="shared" si="0"/>
        <v>0001</v>
      </c>
      <c r="C11" s="3"/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1</v>
      </c>
      <c r="J11" s="3">
        <v>1</v>
      </c>
      <c r="K11" s="2"/>
      <c r="L11" s="2"/>
      <c r="M11" s="2" t="str">
        <f t="shared" si="1"/>
        <v>0B</v>
      </c>
      <c r="N11" s="3">
        <v>0</v>
      </c>
      <c r="O11" s="3">
        <v>0</v>
      </c>
      <c r="P11" s="3">
        <v>0</v>
      </c>
      <c r="Q11" s="3">
        <v>1</v>
      </c>
      <c r="R11" s="3">
        <v>0</v>
      </c>
      <c r="S11" s="3">
        <v>0</v>
      </c>
      <c r="T11" s="3">
        <v>1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2"/>
      <c r="AE11" s="2" t="str" cm="1">
        <f t="array" ref="AE11" xml:space="preserve">DEC2HEX(SUMPRODUCT(N11:U11,2^{0,1,2,3,4,5,6,7})+SUMPRODUCT(V11:AC11,2^{8,9,10,11,12,13,14,15}),4)</f>
        <v>0048</v>
      </c>
    </row>
    <row r="12" spans="1:31">
      <c r="A12" s="3">
        <v>1</v>
      </c>
      <c r="B12" s="3" t="str">
        <f t="shared" si="0"/>
        <v>0001</v>
      </c>
      <c r="C12" s="3"/>
      <c r="D12" s="3">
        <v>0</v>
      </c>
      <c r="E12" s="3">
        <v>0</v>
      </c>
      <c r="F12" s="3">
        <v>0</v>
      </c>
      <c r="G12" s="3">
        <v>1</v>
      </c>
      <c r="H12" s="3">
        <v>1</v>
      </c>
      <c r="I12" s="3">
        <v>0</v>
      </c>
      <c r="J12" s="3">
        <v>0</v>
      </c>
      <c r="K12" s="2"/>
      <c r="L12" s="2"/>
      <c r="M12" s="2" t="str">
        <f t="shared" si="1"/>
        <v>0C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2"/>
      <c r="AE12" s="2" t="str" cm="1">
        <f t="array" ref="AE12" xml:space="preserve">DEC2HEX(SUMPRODUCT(N12:U12,2^{0,1,2,3,4,5,6,7})+SUMPRODUCT(V12:AC12,2^{8,9,10,11,12,13,14,15}),4)</f>
        <v>0000</v>
      </c>
    </row>
    <row r="13" spans="1:31">
      <c r="A13" s="3">
        <v>2</v>
      </c>
      <c r="B13" s="3" t="str">
        <f t="shared" si="0"/>
        <v>0010</v>
      </c>
      <c r="C13" s="3" t="s">
        <v>72</v>
      </c>
      <c r="D13" s="3">
        <v>0</v>
      </c>
      <c r="E13" s="3">
        <v>0</v>
      </c>
      <c r="F13" s="3">
        <v>1</v>
      </c>
      <c r="G13" s="3">
        <v>0</v>
      </c>
      <c r="H13" s="3">
        <v>0</v>
      </c>
      <c r="I13" s="3">
        <v>1</v>
      </c>
      <c r="J13" s="3">
        <v>0</v>
      </c>
      <c r="K13" s="2"/>
      <c r="L13" s="2"/>
      <c r="M13" s="2" t="str">
        <f t="shared" si="1"/>
        <v>12</v>
      </c>
      <c r="N13" s="3">
        <v>0</v>
      </c>
      <c r="O13" s="3">
        <v>1</v>
      </c>
      <c r="P13" s="3">
        <v>0</v>
      </c>
      <c r="Q13" s="3">
        <v>0</v>
      </c>
      <c r="R13" s="3">
        <v>1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2"/>
      <c r="AE13" s="2" t="str" cm="1">
        <f t="array" ref="AE13" xml:space="preserve">DEC2HEX(SUMPRODUCT(N13:U13,2^{0,1,2,3,4,5,6,7})+SUMPRODUCT(V13:AC13,2^{8,9,10,11,12,13,14,15}),4)</f>
        <v>0012</v>
      </c>
    </row>
    <row r="14" spans="1:31">
      <c r="A14" s="3">
        <v>2</v>
      </c>
      <c r="B14" s="3" t="str">
        <f t="shared" si="0"/>
        <v>0010</v>
      </c>
      <c r="C14" s="3"/>
      <c r="D14" s="3">
        <v>0</v>
      </c>
      <c r="E14" s="3">
        <v>0</v>
      </c>
      <c r="F14" s="3">
        <v>1</v>
      </c>
      <c r="G14" s="3">
        <v>0</v>
      </c>
      <c r="H14" s="3">
        <v>0</v>
      </c>
      <c r="I14" s="3">
        <v>1</v>
      </c>
      <c r="J14" s="3">
        <v>1</v>
      </c>
      <c r="K14" s="2"/>
      <c r="L14" s="2"/>
      <c r="M14" s="2" t="str">
        <f t="shared" si="1"/>
        <v>13</v>
      </c>
      <c r="N14" s="3">
        <v>0</v>
      </c>
      <c r="O14" s="3">
        <v>0</v>
      </c>
      <c r="P14" s="3">
        <v>0</v>
      </c>
      <c r="Q14" s="3">
        <v>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2"/>
      <c r="AE14" s="2" t="str" cm="1">
        <f t="array" ref="AE14" xml:space="preserve">DEC2HEX(SUMPRODUCT(N14:U14,2^{0,1,2,3,4,5,6,7})+SUMPRODUCT(V14:AC14,2^{8,9,10,11,12,13,14,15}),4)</f>
        <v>0408</v>
      </c>
    </row>
    <row r="15" spans="1:31">
      <c r="A15" s="3">
        <v>2</v>
      </c>
      <c r="B15" s="3" t="str">
        <f t="shared" si="0"/>
        <v>0010</v>
      </c>
      <c r="C15" s="3"/>
      <c r="D15" s="3">
        <v>0</v>
      </c>
      <c r="E15" s="3">
        <v>0</v>
      </c>
      <c r="F15" s="3">
        <v>1</v>
      </c>
      <c r="G15" s="3">
        <v>0</v>
      </c>
      <c r="H15" s="3">
        <v>1</v>
      </c>
      <c r="I15" s="3">
        <v>0</v>
      </c>
      <c r="J15" s="3">
        <v>0</v>
      </c>
      <c r="K15" s="2"/>
      <c r="L15" s="2"/>
      <c r="M15" s="2" t="str">
        <f t="shared" si="1"/>
        <v>14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0</v>
      </c>
      <c r="V15" s="3">
        <v>1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2"/>
      <c r="AE15" s="2" t="str" cm="1">
        <f t="array" ref="AE15" xml:space="preserve">DEC2HEX(SUMPRODUCT(N15:U15,2^{0,1,2,3,4,5,6,7})+SUMPRODUCT(V15:AC15,2^{8,9,10,11,12,13,14,15}),4)</f>
        <v>0140</v>
      </c>
    </row>
    <row r="16" spans="1:31">
      <c r="A16" s="3">
        <v>3</v>
      </c>
      <c r="B16" s="3" t="str">
        <f t="shared" si="0"/>
        <v>0011</v>
      </c>
      <c r="C16" s="8" t="s">
        <v>73</v>
      </c>
      <c r="D16" s="3">
        <v>0</v>
      </c>
      <c r="E16" s="3">
        <v>0</v>
      </c>
      <c r="F16" s="3">
        <v>1</v>
      </c>
      <c r="G16" s="3">
        <v>1</v>
      </c>
      <c r="H16" s="3">
        <v>0</v>
      </c>
      <c r="I16" s="3">
        <v>1</v>
      </c>
      <c r="J16" s="3">
        <v>0</v>
      </c>
      <c r="K16" s="2"/>
      <c r="L16" s="2"/>
      <c r="M16" s="2" t="str">
        <f t="shared" si="1"/>
        <v>1A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2"/>
      <c r="AE16" s="2" t="str" cm="1">
        <f t="array" ref="AE16" xml:space="preserve">DEC2HEX(SUMPRODUCT(N16:U16,2^{0,1,2,3,4,5,6,7})+SUMPRODUCT(V16:AC16,2^{8,9,10,11,12,13,14,15}),4)</f>
        <v>0000</v>
      </c>
    </row>
    <row r="17" spans="1:31">
      <c r="A17" s="3">
        <v>3</v>
      </c>
      <c r="B17" s="3" t="str">
        <f t="shared" si="0"/>
        <v>0011</v>
      </c>
      <c r="C17" s="9"/>
      <c r="D17" s="3">
        <v>0</v>
      </c>
      <c r="E17" s="3">
        <v>0</v>
      </c>
      <c r="F17" s="3">
        <v>1</v>
      </c>
      <c r="G17" s="3">
        <v>1</v>
      </c>
      <c r="H17" s="3">
        <v>0</v>
      </c>
      <c r="I17" s="3">
        <v>1</v>
      </c>
      <c r="J17" s="3">
        <v>1</v>
      </c>
      <c r="K17" s="2"/>
      <c r="L17" s="2"/>
      <c r="M17" s="2" t="str">
        <f t="shared" si="1"/>
        <v>1B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2"/>
      <c r="AE17" s="2" t="str" cm="1">
        <f t="array" ref="AE17" xml:space="preserve">DEC2HEX(SUMPRODUCT(N17:U17,2^{0,1,2,3,4,5,6,7})+SUMPRODUCT(V17:AC17,2^{8,9,10,11,12,13,14,15}),4)</f>
        <v>0000</v>
      </c>
    </row>
    <row r="18" spans="1:31">
      <c r="A18" s="3">
        <v>3</v>
      </c>
      <c r="B18" s="3" t="str">
        <f t="shared" si="0"/>
        <v>0011</v>
      </c>
      <c r="C18" s="10"/>
      <c r="D18" s="3">
        <v>0</v>
      </c>
      <c r="E18" s="3">
        <v>0</v>
      </c>
      <c r="F18" s="3">
        <v>1</v>
      </c>
      <c r="G18" s="3">
        <v>1</v>
      </c>
      <c r="H18" s="3">
        <v>1</v>
      </c>
      <c r="I18" s="3">
        <v>0</v>
      </c>
      <c r="J18" s="3">
        <v>0</v>
      </c>
      <c r="K18" s="2"/>
      <c r="L18" s="2"/>
      <c r="M18" s="2" t="str">
        <f t="shared" si="1"/>
        <v>1C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2"/>
      <c r="AE18" s="2" t="str" cm="1">
        <f t="array" ref="AE18" xml:space="preserve">DEC2HEX(SUMPRODUCT(N18:U18,2^{0,1,2,3,4,5,6,7})+SUMPRODUCT(V18:AC18,2^{8,9,10,11,12,13,14,15}),4)</f>
        <v>0000</v>
      </c>
    </row>
    <row r="19" spans="1:31">
      <c r="A19" s="3">
        <v>4</v>
      </c>
      <c r="B19" s="3" t="str">
        <f t="shared" si="0"/>
        <v>0100</v>
      </c>
      <c r="C19" s="8" t="s">
        <v>74</v>
      </c>
      <c r="D19" s="3">
        <v>0</v>
      </c>
      <c r="E19" s="3">
        <v>1</v>
      </c>
      <c r="F19" s="3">
        <v>0</v>
      </c>
      <c r="G19" s="3">
        <v>0</v>
      </c>
      <c r="H19" s="3">
        <v>0</v>
      </c>
      <c r="I19" s="3">
        <v>1</v>
      </c>
      <c r="J19" s="3">
        <v>0</v>
      </c>
      <c r="K19" s="2"/>
      <c r="L19" s="2"/>
      <c r="M19" s="2" t="str">
        <f t="shared" si="1"/>
        <v>22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2"/>
      <c r="AE19" s="2" t="str" cm="1">
        <f t="array" ref="AE19" xml:space="preserve">DEC2HEX(SUMPRODUCT(N19:U19,2^{0,1,2,3,4,5,6,7})+SUMPRODUCT(V19:AC19,2^{8,9,10,11,12,13,14,15}),4)</f>
        <v>0000</v>
      </c>
    </row>
    <row r="20" spans="1:31">
      <c r="A20" s="3">
        <v>4</v>
      </c>
      <c r="B20" s="3" t="str">
        <f t="shared" si="0"/>
        <v>0100</v>
      </c>
      <c r="C20" s="9"/>
      <c r="D20" s="3">
        <v>0</v>
      </c>
      <c r="E20" s="3">
        <v>1</v>
      </c>
      <c r="F20" s="3">
        <v>0</v>
      </c>
      <c r="G20" s="3">
        <v>0</v>
      </c>
      <c r="H20" s="3">
        <v>0</v>
      </c>
      <c r="I20" s="3">
        <v>1</v>
      </c>
      <c r="J20" s="3">
        <v>1</v>
      </c>
      <c r="K20" s="2"/>
      <c r="L20" s="2"/>
      <c r="M20" s="2" t="str">
        <f t="shared" si="1"/>
        <v>23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2"/>
      <c r="AE20" s="2" t="str" cm="1">
        <f t="array" ref="AE20" xml:space="preserve">DEC2HEX(SUMPRODUCT(N20:U20,2^{0,1,2,3,4,5,6,7})+SUMPRODUCT(V20:AC20,2^{8,9,10,11,12,13,14,15}),4)</f>
        <v>0000</v>
      </c>
    </row>
    <row r="21" spans="1:31">
      <c r="A21" s="3">
        <v>4</v>
      </c>
      <c r="B21" s="3" t="str">
        <f t="shared" si="0"/>
        <v>0100</v>
      </c>
      <c r="C21" s="10"/>
      <c r="D21" s="3">
        <v>0</v>
      </c>
      <c r="E21" s="3">
        <v>1</v>
      </c>
      <c r="F21" s="3">
        <v>0</v>
      </c>
      <c r="G21" s="3">
        <v>0</v>
      </c>
      <c r="H21" s="3">
        <v>1</v>
      </c>
      <c r="I21" s="3">
        <v>0</v>
      </c>
      <c r="J21" s="3">
        <v>0</v>
      </c>
      <c r="K21" s="2"/>
      <c r="L21" s="2"/>
      <c r="M21" s="2" t="str">
        <f t="shared" si="1"/>
        <v>24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2"/>
      <c r="AE21" s="2" t="str" cm="1">
        <f t="array" ref="AE21" xml:space="preserve">DEC2HEX(SUMPRODUCT(N21:U21,2^{0,1,2,3,4,5,6,7})+SUMPRODUCT(V21:AC21,2^{8,9,10,11,12,13,14,15}),4)</f>
        <v>0000</v>
      </c>
    </row>
    <row r="22" spans="1:31">
      <c r="A22" s="3">
        <v>5</v>
      </c>
      <c r="B22" s="3" t="str">
        <f t="shared" si="0"/>
        <v>0101</v>
      </c>
      <c r="C22" s="8" t="s">
        <v>75</v>
      </c>
      <c r="D22" s="3">
        <v>0</v>
      </c>
      <c r="E22" s="3">
        <v>1</v>
      </c>
      <c r="F22" s="3">
        <v>0</v>
      </c>
      <c r="G22" s="3">
        <v>1</v>
      </c>
      <c r="H22" s="3">
        <v>0</v>
      </c>
      <c r="I22" s="3">
        <v>1</v>
      </c>
      <c r="J22" s="3">
        <v>0</v>
      </c>
      <c r="K22" s="2"/>
      <c r="L22" s="2"/>
      <c r="M22" s="2" t="str">
        <f t="shared" si="1"/>
        <v>2A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2"/>
      <c r="AE22" s="2" t="str" cm="1">
        <f t="array" ref="AE22" xml:space="preserve">DEC2HEX(SUMPRODUCT(N22:U22,2^{0,1,2,3,4,5,6,7})+SUMPRODUCT(V22:AC22,2^{8,9,10,11,12,13,14,15}),4)</f>
        <v>0000</v>
      </c>
    </row>
    <row r="23" spans="1:31">
      <c r="A23" s="3">
        <v>5</v>
      </c>
      <c r="B23" s="3" t="str">
        <f t="shared" si="0"/>
        <v>0101</v>
      </c>
      <c r="C23" s="9"/>
      <c r="D23" s="3">
        <v>0</v>
      </c>
      <c r="E23" s="3">
        <v>1</v>
      </c>
      <c r="F23" s="3">
        <v>0</v>
      </c>
      <c r="G23" s="3">
        <v>1</v>
      </c>
      <c r="H23" s="3">
        <v>0</v>
      </c>
      <c r="I23" s="3">
        <v>1</v>
      </c>
      <c r="J23" s="3">
        <v>1</v>
      </c>
      <c r="K23" s="2"/>
      <c r="L23" s="2"/>
      <c r="M23" s="2" t="str">
        <f t="shared" si="1"/>
        <v>2B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2"/>
      <c r="AE23" s="2" t="str" cm="1">
        <f t="array" ref="AE23" xml:space="preserve">DEC2HEX(SUMPRODUCT(N23:U23,2^{0,1,2,3,4,5,6,7})+SUMPRODUCT(V23:AC23,2^{8,9,10,11,12,13,14,15}),4)</f>
        <v>0000</v>
      </c>
    </row>
    <row r="24" spans="1:31">
      <c r="A24" s="3">
        <v>5</v>
      </c>
      <c r="B24" s="3" t="str">
        <f t="shared" si="0"/>
        <v>0101</v>
      </c>
      <c r="C24" s="10"/>
      <c r="D24" s="3">
        <v>0</v>
      </c>
      <c r="E24" s="3">
        <v>1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2"/>
      <c r="L24" s="2"/>
      <c r="M24" s="2" t="str">
        <f t="shared" si="1"/>
        <v>2C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2"/>
      <c r="AE24" s="2" t="str" cm="1">
        <f t="array" ref="AE24" xml:space="preserve">DEC2HEX(SUMPRODUCT(N24:U24,2^{0,1,2,3,4,5,6,7})+SUMPRODUCT(V24:AC24,2^{8,9,10,11,12,13,14,15}),4)</f>
        <v>0000</v>
      </c>
    </row>
    <row r="25" spans="1:31">
      <c r="A25" s="3">
        <v>6</v>
      </c>
      <c r="B25" s="3" t="str">
        <f t="shared" si="0"/>
        <v>0110</v>
      </c>
      <c r="C25" s="8" t="s">
        <v>76</v>
      </c>
      <c r="D25" s="3">
        <v>0</v>
      </c>
      <c r="E25" s="3">
        <v>1</v>
      </c>
      <c r="F25" s="3">
        <v>1</v>
      </c>
      <c r="G25" s="3">
        <v>0</v>
      </c>
      <c r="H25" s="3">
        <v>0</v>
      </c>
      <c r="I25" s="3">
        <v>1</v>
      </c>
      <c r="J25" s="3">
        <v>0</v>
      </c>
      <c r="K25" s="2"/>
      <c r="L25" s="2"/>
      <c r="M25" s="2" t="str">
        <f t="shared" si="1"/>
        <v>32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2"/>
      <c r="AE25" s="2" t="str" cm="1">
        <f t="array" ref="AE25" xml:space="preserve">DEC2HEX(SUMPRODUCT(N25:U25,2^{0,1,2,3,4,5,6,7})+SUMPRODUCT(V25:AC25,2^{8,9,10,11,12,13,14,15}),4)</f>
        <v>0000</v>
      </c>
    </row>
    <row r="26" spans="1:31">
      <c r="A26" s="3">
        <v>6</v>
      </c>
      <c r="B26" s="3" t="str">
        <f t="shared" si="0"/>
        <v>0110</v>
      </c>
      <c r="C26" s="9"/>
      <c r="D26" s="3">
        <v>0</v>
      </c>
      <c r="E26" s="3">
        <v>1</v>
      </c>
      <c r="F26" s="3">
        <v>1</v>
      </c>
      <c r="G26" s="3">
        <v>0</v>
      </c>
      <c r="H26" s="3">
        <v>0</v>
      </c>
      <c r="I26" s="3">
        <v>1</v>
      </c>
      <c r="J26" s="3">
        <v>1</v>
      </c>
      <c r="K26" s="2"/>
      <c r="L26" s="2"/>
      <c r="M26" s="2" t="str">
        <f t="shared" si="1"/>
        <v>33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2"/>
      <c r="AE26" s="2" t="str" cm="1">
        <f t="array" ref="AE26" xml:space="preserve">DEC2HEX(SUMPRODUCT(N26:U26,2^{0,1,2,3,4,5,6,7})+SUMPRODUCT(V26:AC26,2^{8,9,10,11,12,13,14,15}),4)</f>
        <v>0000</v>
      </c>
    </row>
    <row r="27" spans="1:31">
      <c r="A27" s="3">
        <v>6</v>
      </c>
      <c r="B27" s="3" t="str">
        <f t="shared" si="0"/>
        <v>0110</v>
      </c>
      <c r="C27" s="10"/>
      <c r="D27" s="3">
        <v>0</v>
      </c>
      <c r="E27" s="3">
        <v>1</v>
      </c>
      <c r="F27" s="3">
        <v>1</v>
      </c>
      <c r="G27" s="3">
        <v>0</v>
      </c>
      <c r="H27" s="3">
        <v>1</v>
      </c>
      <c r="I27" s="3">
        <v>0</v>
      </c>
      <c r="J27" s="3">
        <v>0</v>
      </c>
      <c r="K27" s="2"/>
      <c r="L27" s="2"/>
      <c r="M27" s="2" t="str">
        <f t="shared" si="1"/>
        <v>34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2"/>
      <c r="AE27" s="2" t="str" cm="1">
        <f t="array" ref="AE27" xml:space="preserve">DEC2HEX(SUMPRODUCT(N27:U27,2^{0,1,2,3,4,5,6,7})+SUMPRODUCT(V27:AC27,2^{8,9,10,11,12,13,14,15}),4)</f>
        <v>0000</v>
      </c>
    </row>
    <row r="28" spans="1:31">
      <c r="A28" s="3">
        <v>7</v>
      </c>
      <c r="B28" s="3" t="str">
        <f t="shared" si="0"/>
        <v>0111</v>
      </c>
      <c r="C28" s="8"/>
      <c r="D28" s="3">
        <v>0</v>
      </c>
      <c r="E28" s="3">
        <v>1</v>
      </c>
      <c r="F28" s="3">
        <v>1</v>
      </c>
      <c r="G28" s="3">
        <v>1</v>
      </c>
      <c r="H28" s="3">
        <v>0</v>
      </c>
      <c r="I28" s="3">
        <v>1</v>
      </c>
      <c r="J28" s="3">
        <v>0</v>
      </c>
      <c r="K28" s="2"/>
      <c r="L28" s="2"/>
      <c r="M28" s="2" t="str">
        <f t="shared" si="1"/>
        <v>3A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2"/>
      <c r="AE28" s="2" t="str" cm="1">
        <f t="array" ref="AE28" xml:space="preserve">DEC2HEX(SUMPRODUCT(N28:U28,2^{0,1,2,3,4,5,6,7})+SUMPRODUCT(V28:AC28,2^{8,9,10,11,12,13,14,15}),4)</f>
        <v>0000</v>
      </c>
    </row>
    <row r="29" spans="1:31">
      <c r="A29" s="3">
        <v>7</v>
      </c>
      <c r="B29" s="3" t="str">
        <f t="shared" si="0"/>
        <v>0111</v>
      </c>
      <c r="C29" s="9"/>
      <c r="D29" s="3">
        <v>0</v>
      </c>
      <c r="E29" s="3">
        <v>1</v>
      </c>
      <c r="F29" s="3">
        <v>1</v>
      </c>
      <c r="G29" s="3">
        <v>1</v>
      </c>
      <c r="H29" s="3">
        <v>0</v>
      </c>
      <c r="I29" s="3">
        <v>1</v>
      </c>
      <c r="J29" s="3">
        <v>1</v>
      </c>
      <c r="K29" s="2"/>
      <c r="L29" s="2"/>
      <c r="M29" s="2" t="str">
        <f t="shared" si="1"/>
        <v>3B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2"/>
      <c r="AE29" s="2" t="str" cm="1">
        <f t="array" ref="AE29" xml:space="preserve">DEC2HEX(SUMPRODUCT(N29:U29,2^{0,1,2,3,4,5,6,7})+SUMPRODUCT(V29:AC29,2^{8,9,10,11,12,13,14,15}),4)</f>
        <v>0000</v>
      </c>
    </row>
    <row r="30" spans="1:31">
      <c r="A30" s="3">
        <v>7</v>
      </c>
      <c r="B30" s="3" t="str">
        <f t="shared" si="0"/>
        <v>0111</v>
      </c>
      <c r="C30" s="10"/>
      <c r="D30" s="3">
        <v>0</v>
      </c>
      <c r="E30" s="3">
        <v>1</v>
      </c>
      <c r="F30" s="3">
        <v>1</v>
      </c>
      <c r="G30" s="3">
        <v>1</v>
      </c>
      <c r="H30" s="3">
        <v>1</v>
      </c>
      <c r="I30" s="3">
        <v>0</v>
      </c>
      <c r="J30" s="3">
        <v>0</v>
      </c>
      <c r="K30" s="2"/>
      <c r="L30" s="2"/>
      <c r="M30" s="2" t="str">
        <f t="shared" si="1"/>
        <v>3C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2"/>
      <c r="AE30" s="2" t="str" cm="1">
        <f t="array" ref="AE30" xml:space="preserve">DEC2HEX(SUMPRODUCT(N30:U30,2^{0,1,2,3,4,5,6,7})+SUMPRODUCT(V30:AC30,2^{8,9,10,11,12,13,14,15}),4)</f>
        <v>0000</v>
      </c>
    </row>
    <row r="31" spans="1:31">
      <c r="A31" s="3">
        <v>8</v>
      </c>
      <c r="B31" s="3" t="str">
        <f t="shared" si="0"/>
        <v>1000</v>
      </c>
      <c r="C31" s="8"/>
      <c r="D31" s="3">
        <v>1</v>
      </c>
      <c r="E31" s="3">
        <v>0</v>
      </c>
      <c r="F31" s="3">
        <v>0</v>
      </c>
      <c r="G31" s="3">
        <v>0</v>
      </c>
      <c r="H31" s="3">
        <v>0</v>
      </c>
      <c r="I31" s="3">
        <v>1</v>
      </c>
      <c r="J31" s="3">
        <v>0</v>
      </c>
      <c r="K31" s="2"/>
      <c r="L31" s="2"/>
      <c r="M31" s="2" t="str">
        <f t="shared" si="1"/>
        <v>42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2"/>
      <c r="AE31" s="2" t="str" cm="1">
        <f t="array" ref="AE31" xml:space="preserve">DEC2HEX(SUMPRODUCT(N31:U31,2^{0,1,2,3,4,5,6,7})+SUMPRODUCT(V31:AC31,2^{8,9,10,11,12,13,14,15}),4)</f>
        <v>0000</v>
      </c>
    </row>
    <row r="32" spans="1:31">
      <c r="A32" s="3">
        <v>8</v>
      </c>
      <c r="B32" s="3" t="str">
        <f t="shared" si="0"/>
        <v>1000</v>
      </c>
      <c r="C32" s="9"/>
      <c r="D32" s="3">
        <v>1</v>
      </c>
      <c r="E32" s="3">
        <v>0</v>
      </c>
      <c r="F32" s="3">
        <v>0</v>
      </c>
      <c r="G32" s="3">
        <v>0</v>
      </c>
      <c r="H32" s="3">
        <v>0</v>
      </c>
      <c r="I32" s="3">
        <v>1</v>
      </c>
      <c r="J32" s="3">
        <v>1</v>
      </c>
      <c r="K32" s="2"/>
      <c r="L32" s="2"/>
      <c r="M32" s="2" t="str">
        <f t="shared" si="1"/>
        <v>43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2"/>
      <c r="AE32" s="2" t="str" cm="1">
        <f t="array" ref="AE32" xml:space="preserve">DEC2HEX(SUMPRODUCT(N32:U32,2^{0,1,2,3,4,5,6,7})+SUMPRODUCT(V32:AC32,2^{8,9,10,11,12,13,14,15}),4)</f>
        <v>0000</v>
      </c>
    </row>
    <row r="33" spans="1:31">
      <c r="A33" s="3">
        <v>8</v>
      </c>
      <c r="B33" s="3" t="str">
        <f t="shared" si="0"/>
        <v>1000</v>
      </c>
      <c r="C33" s="10"/>
      <c r="D33" s="3">
        <v>1</v>
      </c>
      <c r="E33" s="3">
        <v>0</v>
      </c>
      <c r="F33" s="3">
        <v>0</v>
      </c>
      <c r="G33" s="3">
        <v>0</v>
      </c>
      <c r="H33" s="3">
        <v>1</v>
      </c>
      <c r="I33" s="3">
        <v>0</v>
      </c>
      <c r="J33" s="3">
        <v>0</v>
      </c>
      <c r="K33" s="2"/>
      <c r="L33" s="2"/>
      <c r="M33" s="2" t="str">
        <f t="shared" si="1"/>
        <v>44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2"/>
      <c r="AE33" s="2" t="str" cm="1">
        <f t="array" ref="AE33" xml:space="preserve">DEC2HEX(SUMPRODUCT(N33:U33,2^{0,1,2,3,4,5,6,7})+SUMPRODUCT(V33:AC33,2^{8,9,10,11,12,13,14,15}),4)</f>
        <v>0000</v>
      </c>
    </row>
    <row r="34" spans="1:31">
      <c r="A34" s="3">
        <v>9</v>
      </c>
      <c r="B34" s="3" t="str">
        <f t="shared" si="0"/>
        <v>1001</v>
      </c>
      <c r="C34" s="8"/>
      <c r="D34" s="2">
        <v>1</v>
      </c>
      <c r="E34" s="2">
        <v>0</v>
      </c>
      <c r="F34" s="2">
        <v>0</v>
      </c>
      <c r="G34" s="2">
        <v>1</v>
      </c>
      <c r="H34" s="3">
        <v>0</v>
      </c>
      <c r="I34" s="3">
        <v>1</v>
      </c>
      <c r="J34" s="3">
        <v>0</v>
      </c>
      <c r="K34" s="2"/>
      <c r="L34" s="2"/>
      <c r="M34" s="2" t="str">
        <f t="shared" si="1"/>
        <v>4A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 t="str" cm="1">
        <f t="array" ref="AE34" xml:space="preserve">DEC2HEX(SUMPRODUCT(N34:U34,2^{0,1,2,3,4,5,6,7})+SUMPRODUCT(V34:AC34,2^{8,9,10,11,12,13,14,15}),4)</f>
        <v>0000</v>
      </c>
    </row>
    <row r="35" spans="1:31">
      <c r="A35" s="3">
        <v>9</v>
      </c>
      <c r="B35" s="3" t="str">
        <f t="shared" si="0"/>
        <v>1001</v>
      </c>
      <c r="C35" s="9"/>
      <c r="D35" s="2">
        <v>1</v>
      </c>
      <c r="E35" s="2">
        <v>0</v>
      </c>
      <c r="F35" s="2">
        <v>0</v>
      </c>
      <c r="G35" s="2">
        <v>1</v>
      </c>
      <c r="H35" s="3">
        <v>0</v>
      </c>
      <c r="I35" s="3">
        <v>1</v>
      </c>
      <c r="J35" s="3">
        <v>1</v>
      </c>
      <c r="K35" s="2"/>
      <c r="L35" s="2"/>
      <c r="M35" s="2" t="str">
        <f t="shared" si="1"/>
        <v>4B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 t="str" cm="1">
        <f t="array" ref="AE35" xml:space="preserve">DEC2HEX(SUMPRODUCT(N35:U35,2^{0,1,2,3,4,5,6,7})+SUMPRODUCT(V35:AC35,2^{8,9,10,11,12,13,14,15}),4)</f>
        <v>0000</v>
      </c>
    </row>
    <row r="36" spans="1:31">
      <c r="A36" s="3">
        <v>9</v>
      </c>
      <c r="B36" s="3" t="str">
        <f t="shared" si="0"/>
        <v>1001</v>
      </c>
      <c r="C36" s="10"/>
      <c r="D36" s="2">
        <v>1</v>
      </c>
      <c r="E36" s="2">
        <v>0</v>
      </c>
      <c r="F36" s="2">
        <v>0</v>
      </c>
      <c r="G36" s="2">
        <v>1</v>
      </c>
      <c r="H36" s="3">
        <v>1</v>
      </c>
      <c r="I36" s="3">
        <v>0</v>
      </c>
      <c r="J36" s="3">
        <v>0</v>
      </c>
      <c r="K36" s="2"/>
      <c r="L36" s="2"/>
      <c r="M36" s="2" t="str">
        <f t="shared" si="1"/>
        <v>4C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 t="str" cm="1">
        <f t="array" ref="AE36" xml:space="preserve">DEC2HEX(SUMPRODUCT(N36:U36,2^{0,1,2,3,4,5,6,7})+SUMPRODUCT(V36:AC36,2^{8,9,10,11,12,13,14,15}),4)</f>
        <v>0000</v>
      </c>
    </row>
    <row r="37" spans="1:31">
      <c r="A37" s="3">
        <v>10</v>
      </c>
      <c r="B37" s="3" t="str">
        <f t="shared" si="0"/>
        <v>1010</v>
      </c>
      <c r="C37" s="8"/>
      <c r="D37" s="2">
        <v>1</v>
      </c>
      <c r="E37" s="2">
        <v>0</v>
      </c>
      <c r="F37" s="2">
        <v>1</v>
      </c>
      <c r="G37" s="2">
        <v>0</v>
      </c>
      <c r="H37" s="3">
        <v>0</v>
      </c>
      <c r="I37" s="3">
        <v>1</v>
      </c>
      <c r="J37" s="3">
        <v>0</v>
      </c>
      <c r="K37" s="2"/>
      <c r="L37" s="2"/>
      <c r="M37" s="2" t="str">
        <f t="shared" si="1"/>
        <v>52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 t="str" cm="1">
        <f t="array" ref="AE37" xml:space="preserve">DEC2HEX(SUMPRODUCT(N37:U37,2^{0,1,2,3,4,5,6,7})+SUMPRODUCT(V37:AC37,2^{8,9,10,11,12,13,14,15}),4)</f>
        <v>0000</v>
      </c>
    </row>
    <row r="38" spans="1:31">
      <c r="A38" s="3">
        <v>10</v>
      </c>
      <c r="B38" s="3" t="str">
        <f t="shared" si="0"/>
        <v>1010</v>
      </c>
      <c r="C38" s="9"/>
      <c r="D38" s="2">
        <v>1</v>
      </c>
      <c r="E38" s="2">
        <v>0</v>
      </c>
      <c r="F38" s="2">
        <v>1</v>
      </c>
      <c r="G38" s="2">
        <v>0</v>
      </c>
      <c r="H38" s="3">
        <v>0</v>
      </c>
      <c r="I38" s="3">
        <v>1</v>
      </c>
      <c r="J38" s="3">
        <v>1</v>
      </c>
      <c r="K38" s="2"/>
      <c r="L38" s="2"/>
      <c r="M38" s="2" t="str">
        <f t="shared" si="1"/>
        <v>53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 t="str" cm="1">
        <f t="array" ref="AE38" xml:space="preserve">DEC2HEX(SUMPRODUCT(N38:U38,2^{0,1,2,3,4,5,6,7})+SUMPRODUCT(V38:AC38,2^{8,9,10,11,12,13,14,15}),4)</f>
        <v>0000</v>
      </c>
    </row>
    <row r="39" spans="1:31">
      <c r="A39" s="3">
        <v>10</v>
      </c>
      <c r="B39" s="3" t="str">
        <f t="shared" si="0"/>
        <v>1010</v>
      </c>
      <c r="C39" s="10"/>
      <c r="D39" s="2">
        <v>1</v>
      </c>
      <c r="E39" s="2">
        <v>0</v>
      </c>
      <c r="F39" s="2">
        <v>1</v>
      </c>
      <c r="G39" s="2">
        <v>0</v>
      </c>
      <c r="H39" s="3">
        <v>1</v>
      </c>
      <c r="I39" s="3">
        <v>0</v>
      </c>
      <c r="J39" s="3">
        <v>0</v>
      </c>
      <c r="K39" s="2"/>
      <c r="L39" s="2"/>
      <c r="M39" s="2" t="str">
        <f t="shared" si="1"/>
        <v>54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 t="str" cm="1">
        <f t="array" ref="AE39" xml:space="preserve">DEC2HEX(SUMPRODUCT(N39:U39,2^{0,1,2,3,4,5,6,7})+SUMPRODUCT(V39:AC39,2^{8,9,10,11,12,13,14,15}),4)</f>
        <v>0000</v>
      </c>
    </row>
    <row r="40" spans="1:31">
      <c r="A40" s="3">
        <v>11</v>
      </c>
      <c r="B40" s="3" t="str">
        <f t="shared" si="0"/>
        <v>1011</v>
      </c>
      <c r="C40" s="8"/>
      <c r="D40" s="2">
        <v>1</v>
      </c>
      <c r="E40" s="2">
        <v>0</v>
      </c>
      <c r="F40" s="2">
        <v>1</v>
      </c>
      <c r="G40" s="2">
        <v>1</v>
      </c>
      <c r="H40" s="3">
        <v>0</v>
      </c>
      <c r="I40" s="3">
        <v>1</v>
      </c>
      <c r="J40" s="3">
        <v>0</v>
      </c>
      <c r="K40" s="2"/>
      <c r="L40" s="2"/>
      <c r="M40" s="2" t="str">
        <f t="shared" si="1"/>
        <v>5A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 t="str" cm="1">
        <f t="array" ref="AE40" xml:space="preserve">DEC2HEX(SUMPRODUCT(N40:U40,2^{0,1,2,3,4,5,6,7})+SUMPRODUCT(V40:AC40,2^{8,9,10,11,12,13,14,15}),4)</f>
        <v>0000</v>
      </c>
    </row>
    <row r="41" spans="1:31">
      <c r="A41" s="3">
        <v>11</v>
      </c>
      <c r="B41" s="3" t="str">
        <f t="shared" si="0"/>
        <v>1011</v>
      </c>
      <c r="C41" s="9"/>
      <c r="D41" s="2">
        <v>1</v>
      </c>
      <c r="E41" s="2">
        <v>0</v>
      </c>
      <c r="F41" s="2">
        <v>1</v>
      </c>
      <c r="G41" s="2">
        <v>1</v>
      </c>
      <c r="H41" s="3">
        <v>0</v>
      </c>
      <c r="I41" s="3">
        <v>1</v>
      </c>
      <c r="J41" s="3">
        <v>1</v>
      </c>
      <c r="K41" s="2"/>
      <c r="L41" s="2"/>
      <c r="M41" s="2" t="str">
        <f t="shared" si="1"/>
        <v>5B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 t="str" cm="1">
        <f t="array" ref="AE41" xml:space="preserve">DEC2HEX(SUMPRODUCT(N41:U41,2^{0,1,2,3,4,5,6,7})+SUMPRODUCT(V41:AC41,2^{8,9,10,11,12,13,14,15}),4)</f>
        <v>0000</v>
      </c>
    </row>
    <row r="42" spans="1:31">
      <c r="A42" s="3">
        <v>12</v>
      </c>
      <c r="B42" s="3" t="str">
        <f t="shared" si="0"/>
        <v>1100</v>
      </c>
      <c r="C42" s="10"/>
      <c r="D42" s="2">
        <v>1</v>
      </c>
      <c r="E42" s="2">
        <v>0</v>
      </c>
      <c r="F42" s="2">
        <v>1</v>
      </c>
      <c r="G42" s="2">
        <v>1</v>
      </c>
      <c r="H42" s="3">
        <v>1</v>
      </c>
      <c r="I42" s="3">
        <v>0</v>
      </c>
      <c r="J42" s="3">
        <v>0</v>
      </c>
      <c r="K42" s="2"/>
      <c r="L42" s="2"/>
      <c r="M42" s="2" t="str">
        <f t="shared" si="1"/>
        <v>5C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 t="str" cm="1">
        <f t="array" ref="AE42" xml:space="preserve">DEC2HEX(SUMPRODUCT(N42:U42,2^{0,1,2,3,4,5,6,7})+SUMPRODUCT(V42:AC42,2^{8,9,10,11,12,13,14,15}),4)</f>
        <v>0000</v>
      </c>
    </row>
    <row r="43" spans="1:31">
      <c r="A43" s="3">
        <v>12</v>
      </c>
      <c r="B43" s="3" t="str">
        <f t="shared" si="0"/>
        <v>1100</v>
      </c>
      <c r="C43" s="8"/>
      <c r="D43" s="2">
        <v>1</v>
      </c>
      <c r="E43" s="2">
        <v>1</v>
      </c>
      <c r="F43" s="2">
        <v>0</v>
      </c>
      <c r="G43" s="2">
        <v>0</v>
      </c>
      <c r="H43" s="3">
        <v>0</v>
      </c>
      <c r="I43" s="3">
        <v>1</v>
      </c>
      <c r="J43" s="3">
        <v>0</v>
      </c>
      <c r="K43" s="2"/>
      <c r="L43" s="2"/>
      <c r="M43" s="2" t="str">
        <f t="shared" si="1"/>
        <v>62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 t="str" cm="1">
        <f t="array" ref="AE43" xml:space="preserve">DEC2HEX(SUMPRODUCT(N43:U43,2^{0,1,2,3,4,5,6,7})+SUMPRODUCT(V43:AC43,2^{8,9,10,11,12,13,14,15}),4)</f>
        <v>0000</v>
      </c>
    </row>
    <row r="44" spans="1:31">
      <c r="A44" s="3">
        <v>12</v>
      </c>
      <c r="B44" s="3" t="str">
        <f t="shared" si="0"/>
        <v>1100</v>
      </c>
      <c r="C44" s="9"/>
      <c r="D44" s="2">
        <v>1</v>
      </c>
      <c r="E44" s="2">
        <v>1</v>
      </c>
      <c r="F44" s="2">
        <v>0</v>
      </c>
      <c r="G44" s="2">
        <v>0</v>
      </c>
      <c r="H44" s="3">
        <v>0</v>
      </c>
      <c r="I44" s="3">
        <v>1</v>
      </c>
      <c r="J44" s="3">
        <v>1</v>
      </c>
      <c r="K44" s="2"/>
      <c r="L44" s="2"/>
      <c r="M44" s="2" t="str">
        <f t="shared" si="1"/>
        <v>63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 t="str" cm="1">
        <f t="array" ref="AE44" xml:space="preserve">DEC2HEX(SUMPRODUCT(N44:U44,2^{0,1,2,3,4,5,6,7})+SUMPRODUCT(V44:AC44,2^{8,9,10,11,12,13,14,15}),4)</f>
        <v>0000</v>
      </c>
    </row>
    <row r="45" spans="1:31">
      <c r="A45" s="3">
        <v>13</v>
      </c>
      <c r="B45" s="3" t="str">
        <f t="shared" si="0"/>
        <v>1101</v>
      </c>
      <c r="C45" s="10"/>
      <c r="D45" s="2">
        <v>1</v>
      </c>
      <c r="E45" s="2">
        <v>1</v>
      </c>
      <c r="F45" s="2">
        <v>0</v>
      </c>
      <c r="G45" s="2">
        <v>0</v>
      </c>
      <c r="H45" s="3">
        <v>1</v>
      </c>
      <c r="I45" s="3">
        <v>0</v>
      </c>
      <c r="J45" s="3">
        <v>0</v>
      </c>
      <c r="K45" s="2"/>
      <c r="L45" s="2"/>
      <c r="M45" s="2" t="str">
        <f t="shared" si="1"/>
        <v>64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 t="str" cm="1">
        <f t="array" ref="AE45" xml:space="preserve">DEC2HEX(SUMPRODUCT(N45:U45,2^{0,1,2,3,4,5,6,7})+SUMPRODUCT(V45:AC45,2^{8,9,10,11,12,13,14,15}),4)</f>
        <v>0000</v>
      </c>
    </row>
    <row r="46" spans="1:31">
      <c r="A46" s="3">
        <v>13</v>
      </c>
      <c r="B46" s="2" t="str">
        <f t="shared" si="0"/>
        <v>1101</v>
      </c>
      <c r="C46" s="8"/>
      <c r="D46" s="2">
        <v>1</v>
      </c>
      <c r="E46" s="2">
        <v>1</v>
      </c>
      <c r="F46" s="2">
        <v>0</v>
      </c>
      <c r="G46" s="2">
        <v>1</v>
      </c>
      <c r="H46" s="3">
        <v>0</v>
      </c>
      <c r="I46" s="3">
        <v>1</v>
      </c>
      <c r="J46" s="3">
        <v>0</v>
      </c>
      <c r="K46" s="2"/>
      <c r="L46" s="2"/>
      <c r="M46" s="2" t="str">
        <f t="shared" si="1"/>
        <v>6A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 t="str" cm="1">
        <f t="array" ref="AE46" xml:space="preserve">DEC2HEX(SUMPRODUCT(N46:U46,2^{0,1,2,3,4,5,6,7})+SUMPRODUCT(V46:AC46,2^{8,9,10,11,12,13,14,15}),4)</f>
        <v>0000</v>
      </c>
    </row>
    <row r="47" spans="1:31">
      <c r="A47" s="3">
        <v>13</v>
      </c>
      <c r="B47" s="2"/>
      <c r="C47" s="9"/>
      <c r="D47" s="2">
        <v>1</v>
      </c>
      <c r="E47" s="2">
        <v>1</v>
      </c>
      <c r="F47" s="2">
        <v>0</v>
      </c>
      <c r="G47" s="2">
        <v>1</v>
      </c>
      <c r="H47" s="3">
        <v>0</v>
      </c>
      <c r="I47" s="3">
        <v>1</v>
      </c>
      <c r="J47" s="3">
        <v>1</v>
      </c>
      <c r="K47" s="2"/>
      <c r="L47" s="2"/>
      <c r="M47" s="2" t="str">
        <f t="shared" si="1"/>
        <v>6B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 t="str" cm="1">
        <f t="array" ref="AE47" xml:space="preserve">DEC2HEX(SUMPRODUCT(N47:U47,2^{0,1,2,3,4,5,6,7})+SUMPRODUCT(V47:AC47,2^{8,9,10,11,12,13,14,15}),4)</f>
        <v>0000</v>
      </c>
    </row>
    <row r="48" spans="1:31">
      <c r="A48" s="3">
        <v>14</v>
      </c>
      <c r="B48" s="2"/>
      <c r="C48" s="10"/>
      <c r="D48" s="2">
        <v>1</v>
      </c>
      <c r="E48" s="2">
        <v>1</v>
      </c>
      <c r="F48" s="2">
        <v>0</v>
      </c>
      <c r="G48" s="2">
        <v>1</v>
      </c>
      <c r="H48" s="3">
        <v>1</v>
      </c>
      <c r="I48" s="3">
        <v>0</v>
      </c>
      <c r="J48" s="3">
        <v>0</v>
      </c>
      <c r="K48" s="2"/>
      <c r="L48" s="2"/>
      <c r="M48" s="2" t="str">
        <f t="shared" si="1"/>
        <v>6C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 t="str" cm="1">
        <f t="array" ref="AE48" xml:space="preserve">DEC2HEX(SUMPRODUCT(N49:U49,2^{0,1,2,3,4,5,6,7})+SUMPRODUCT(V49:AC49,2^{8,9,10,11,12,13,14,15}),4)</f>
        <v>0880</v>
      </c>
    </row>
    <row r="49" spans="1:31">
      <c r="A49" s="2">
        <v>14</v>
      </c>
      <c r="B49" s="2" t="str">
        <f xml:space="preserve">DEC2BIN(A49,4)</f>
        <v>1110</v>
      </c>
      <c r="C49" s="2" t="s">
        <v>77</v>
      </c>
      <c r="D49" s="3">
        <v>1</v>
      </c>
      <c r="E49" s="3">
        <v>1</v>
      </c>
      <c r="F49" s="3">
        <v>1</v>
      </c>
      <c r="G49" s="3">
        <v>0</v>
      </c>
      <c r="H49" s="3">
        <v>0</v>
      </c>
      <c r="I49" s="3">
        <v>1</v>
      </c>
      <c r="J49" s="3">
        <v>0</v>
      </c>
      <c r="K49" s="2"/>
      <c r="L49" s="2"/>
      <c r="M49" s="2" t="str">
        <f t="shared" si="1"/>
        <v>72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1</v>
      </c>
      <c r="V49" s="3">
        <v>0</v>
      </c>
      <c r="W49" s="3">
        <v>0</v>
      </c>
      <c r="X49" s="3">
        <v>0</v>
      </c>
      <c r="Y49" s="3">
        <v>1</v>
      </c>
      <c r="Z49" s="3">
        <v>0</v>
      </c>
      <c r="AA49" s="3">
        <v>0</v>
      </c>
      <c r="AB49" s="3">
        <v>0</v>
      </c>
      <c r="AC49" s="3">
        <v>0</v>
      </c>
      <c r="AD49" s="2"/>
      <c r="AE49" s="2" t="str" cm="1">
        <f t="array" ref="AE49" xml:space="preserve">DEC2HEX(SUMPRODUCT(N50:U50,2^{0,1,2,3,4,5,6,7})+SUMPRODUCT(V50:AC50,2^{8,9,10,11,12,13,14,15}),4)</f>
        <v>0000</v>
      </c>
    </row>
    <row r="50" spans="1:31">
      <c r="A50" s="2"/>
      <c r="B50" s="2"/>
      <c r="C50" s="2"/>
      <c r="D50" s="3">
        <v>1</v>
      </c>
      <c r="E50" s="3">
        <v>1</v>
      </c>
      <c r="F50" s="3">
        <v>1</v>
      </c>
      <c r="G50" s="3">
        <v>0</v>
      </c>
      <c r="H50" s="3">
        <v>0</v>
      </c>
      <c r="I50" s="3">
        <v>1</v>
      </c>
      <c r="J50" s="3">
        <v>1</v>
      </c>
      <c r="K50" s="2"/>
      <c r="L50" s="2"/>
      <c r="M50" s="2" t="str">
        <f t="shared" si="1"/>
        <v>73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2"/>
      <c r="AE50" s="2" t="str" cm="1">
        <f t="array" ref="AE50" xml:space="preserve">DEC2HEX(SUMPRODUCT(N51:U51,2^{0,1,2,3,4,5,6,7})+SUMPRODUCT(V51:AC51,2^{8,9,10,11,12,13,14,15}),4)</f>
        <v>0000</v>
      </c>
    </row>
    <row r="51" spans="1:31">
      <c r="A51" s="2"/>
      <c r="B51" s="2"/>
      <c r="C51" s="2"/>
      <c r="D51" s="3">
        <v>1</v>
      </c>
      <c r="E51" s="3">
        <v>1</v>
      </c>
      <c r="F51" s="3">
        <v>1</v>
      </c>
      <c r="G51" s="3">
        <v>0</v>
      </c>
      <c r="H51" s="3">
        <v>1</v>
      </c>
      <c r="I51" s="3">
        <v>0</v>
      </c>
      <c r="J51" s="3">
        <v>0</v>
      </c>
      <c r="K51" s="2"/>
      <c r="L51" s="2"/>
      <c r="M51" s="2" t="str">
        <f t="shared" si="1"/>
        <v>74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2"/>
      <c r="AE51" s="2" t="str" cm="1">
        <f t="array" ref="AE51" xml:space="preserve">DEC2HEX(SUMPRODUCT(N52:U52,2^{0,1,2,3,4,5,6,7})+SUMPRODUCT(V52:AC52,2^{8,9,10,11,12,13,14,15}),4)</f>
        <v>0001</v>
      </c>
    </row>
    <row r="52" spans="1:31">
      <c r="A52" s="2">
        <v>15</v>
      </c>
      <c r="B52" s="2" t="str">
        <f xml:space="preserve">DEC2BIN(A52,4)</f>
        <v>1111</v>
      </c>
      <c r="C52" s="2" t="s">
        <v>50</v>
      </c>
      <c r="D52" s="3">
        <v>1</v>
      </c>
      <c r="E52" s="3">
        <v>1</v>
      </c>
      <c r="F52" s="3">
        <v>1</v>
      </c>
      <c r="G52" s="3">
        <v>1</v>
      </c>
      <c r="H52" s="3">
        <v>0</v>
      </c>
      <c r="I52" s="3">
        <v>1</v>
      </c>
      <c r="J52" s="3">
        <v>0</v>
      </c>
      <c r="K52" s="2"/>
      <c r="L52" s="2"/>
      <c r="M52" s="2" t="str">
        <f t="shared" si="1"/>
        <v>7A</v>
      </c>
      <c r="N52" s="3">
        <v>1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2"/>
      <c r="AE52" s="2" t="str" cm="1">
        <f t="array" ref="AE52" xml:space="preserve">DEC2HEX(SUMPRODUCT(N53:U53,2^{0,1,2,3,4,5,6,7})+SUMPRODUCT(V53:AC53,2^{8,9,10,11,12,13,14,15}),4)</f>
        <v>0000</v>
      </c>
    </row>
    <row r="53" spans="1:31">
      <c r="A53" s="2"/>
      <c r="B53" s="2"/>
      <c r="C53" s="2"/>
      <c r="D53" s="3">
        <v>1</v>
      </c>
      <c r="E53" s="3">
        <v>1</v>
      </c>
      <c r="F53" s="3">
        <v>1</v>
      </c>
      <c r="G53" s="3">
        <v>1</v>
      </c>
      <c r="H53" s="3">
        <v>0</v>
      </c>
      <c r="I53" s="3">
        <v>1</v>
      </c>
      <c r="J53" s="3">
        <v>1</v>
      </c>
      <c r="K53" s="2"/>
      <c r="L53" s="2"/>
      <c r="M53" s="2" t="str">
        <f t="shared" si="1"/>
        <v>7B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2"/>
      <c r="AE53" s="2" t="str" cm="1">
        <f t="array" ref="AE53" xml:space="preserve">DEC2HEX(SUMPRODUCT(N54:U54,2^{0,1,2,3,4,5,6,7})+SUMPRODUCT(V54:AC54,2^{8,9,10,11,12,13,14,15}),4)</f>
        <v>0000</v>
      </c>
    </row>
    <row r="54" spans="1:31">
      <c r="A54" s="2"/>
      <c r="B54" s="2"/>
      <c r="C54" s="2"/>
      <c r="D54" s="3">
        <v>1</v>
      </c>
      <c r="E54" s="3">
        <v>1</v>
      </c>
      <c r="F54" s="3">
        <v>1</v>
      </c>
      <c r="G54" s="3">
        <v>1</v>
      </c>
      <c r="H54" s="3">
        <v>1</v>
      </c>
      <c r="I54" s="3">
        <v>0</v>
      </c>
      <c r="J54" s="3">
        <v>0</v>
      </c>
      <c r="K54" s="2"/>
      <c r="L54" s="2"/>
      <c r="M54" s="2" t="str">
        <f t="shared" si="1"/>
        <v>7C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2"/>
      <c r="AE54" s="2"/>
    </row>
    <row r="58" spans="1:31">
      <c r="C58" s="1" t="s">
        <v>78</v>
      </c>
    </row>
    <row r="60" spans="1:31">
      <c r="C60" s="1" t="s">
        <v>79</v>
      </c>
      <c r="D60" s="1" t="s">
        <v>18</v>
      </c>
      <c r="E60" s="1" t="s">
        <v>19</v>
      </c>
      <c r="F60" s="1" t="s">
        <v>20</v>
      </c>
      <c r="G60" s="1" t="s">
        <v>21</v>
      </c>
      <c r="H60" s="1" t="s">
        <v>22</v>
      </c>
      <c r="I60" s="1" t="s">
        <v>23</v>
      </c>
      <c r="J60" s="1" t="s">
        <v>24</v>
      </c>
      <c r="M60" s="1" t="s">
        <v>25</v>
      </c>
    </row>
    <row r="61" spans="1:31">
      <c r="B61" s="1" t="str">
        <f xml:space="preserve">DEC2BIN(C61,4)</f>
        <v>0000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1">
        <v>1</v>
      </c>
      <c r="I61" s="1">
        <v>1</v>
      </c>
      <c r="J61" s="1">
        <v>1</v>
      </c>
      <c r="M61" s="1">
        <v>0</v>
      </c>
      <c r="N61" s="1" t="str">
        <f t="shared" ref="N61:N76" si="2" xml:space="preserve">DEC2HEX(BIN2DEC(_xlfn.TEXTJOIN("",TRUE,D61:G61,H61:M61)),2)</f>
        <v>1E</v>
      </c>
      <c r="O61" s="1" t="s">
        <v>71</v>
      </c>
      <c r="P61" s="1">
        <v>15</v>
      </c>
    </row>
    <row r="62" spans="1:31">
      <c r="B62" s="1" t="str">
        <f t="shared" ref="B62:B76" si="3" xml:space="preserve">DEC2BIN(C62,4)</f>
        <v>0001</v>
      </c>
      <c r="C62" s="1">
        <v>1</v>
      </c>
      <c r="D62" s="1">
        <v>0</v>
      </c>
      <c r="E62" s="1">
        <v>0</v>
      </c>
      <c r="F62" s="1">
        <v>1</v>
      </c>
      <c r="G62" s="1">
        <v>0</v>
      </c>
      <c r="H62" s="1">
        <v>1</v>
      </c>
      <c r="I62" s="1">
        <v>1</v>
      </c>
      <c r="J62" s="1">
        <v>1</v>
      </c>
      <c r="M62" s="1">
        <v>1</v>
      </c>
      <c r="N62" s="1" t="str">
        <f t="shared" si="2"/>
        <v>2F</v>
      </c>
      <c r="O62" s="1" t="s">
        <v>72</v>
      </c>
      <c r="P62" s="1">
        <v>14</v>
      </c>
    </row>
    <row r="63" spans="1:31">
      <c r="B63" s="1" t="str">
        <f t="shared" si="3"/>
        <v>0010</v>
      </c>
      <c r="C63" s="1">
        <v>2</v>
      </c>
      <c r="D63" s="1">
        <v>1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M63" s="1">
        <v>0</v>
      </c>
      <c r="N63" s="1" t="str">
        <f t="shared" si="2"/>
        <v>E0</v>
      </c>
      <c r="O63" s="1" t="s">
        <v>77</v>
      </c>
    </row>
    <row r="64" spans="1:31">
      <c r="B64" s="1" t="str">
        <f t="shared" si="3"/>
        <v>0011</v>
      </c>
      <c r="C64" s="1">
        <v>3</v>
      </c>
      <c r="D64" s="1">
        <v>1</v>
      </c>
      <c r="E64" s="1">
        <v>1</v>
      </c>
      <c r="F64" s="1">
        <v>1</v>
      </c>
      <c r="G64" s="1">
        <v>1</v>
      </c>
      <c r="H64" s="1">
        <v>0</v>
      </c>
      <c r="I64" s="1">
        <v>0</v>
      </c>
      <c r="J64" s="1">
        <v>0</v>
      </c>
      <c r="M64" s="1">
        <v>0</v>
      </c>
      <c r="N64" s="1" t="str">
        <f t="shared" si="2"/>
        <v>F0</v>
      </c>
      <c r="O64" s="1" t="s">
        <v>50</v>
      </c>
    </row>
    <row r="65" spans="2:14">
      <c r="B65" s="1" t="str">
        <f t="shared" si="3"/>
        <v>0100</v>
      </c>
      <c r="C65" s="1">
        <v>4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M65" s="1">
        <v>0</v>
      </c>
      <c r="N65" s="1" t="str">
        <f t="shared" si="2"/>
        <v>00</v>
      </c>
    </row>
    <row r="66" spans="2:14">
      <c r="B66" s="1" t="str">
        <f t="shared" si="3"/>
        <v>0101</v>
      </c>
      <c r="C66" s="1">
        <v>5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M66" s="1">
        <v>0</v>
      </c>
      <c r="N66" s="1" t="str">
        <f t="shared" si="2"/>
        <v>00</v>
      </c>
    </row>
    <row r="67" spans="2:14">
      <c r="B67" s="1" t="str">
        <f t="shared" si="3"/>
        <v>0110</v>
      </c>
      <c r="C67" s="1">
        <v>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M67" s="1">
        <v>0</v>
      </c>
      <c r="N67" s="1" t="str">
        <f t="shared" si="2"/>
        <v>00</v>
      </c>
    </row>
    <row r="68" spans="2:14">
      <c r="B68" s="1" t="str">
        <f t="shared" si="3"/>
        <v>0111</v>
      </c>
      <c r="C68" s="1">
        <v>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M68" s="1">
        <v>0</v>
      </c>
      <c r="N68" s="1" t="str">
        <f t="shared" si="2"/>
        <v>00</v>
      </c>
    </row>
    <row r="69" spans="2:14">
      <c r="B69" s="1" t="str">
        <f t="shared" si="3"/>
        <v>1000</v>
      </c>
      <c r="C69" s="1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M69" s="1">
        <v>0</v>
      </c>
      <c r="N69" s="1" t="str">
        <f t="shared" si="2"/>
        <v>00</v>
      </c>
    </row>
    <row r="70" spans="2:14">
      <c r="B70" s="1" t="str">
        <f t="shared" si="3"/>
        <v>1001</v>
      </c>
      <c r="C70" s="1">
        <v>9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M70" s="1">
        <v>0</v>
      </c>
      <c r="N70" s="1" t="str">
        <f t="shared" si="2"/>
        <v>00</v>
      </c>
    </row>
    <row r="71" spans="2:14">
      <c r="B71" s="1" t="str">
        <f t="shared" si="3"/>
        <v>1010</v>
      </c>
      <c r="C71" s="1">
        <v>10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M71" s="1">
        <v>0</v>
      </c>
      <c r="N71" s="1" t="str">
        <f t="shared" si="2"/>
        <v>00</v>
      </c>
    </row>
    <row r="72" spans="2:14">
      <c r="B72" s="1" t="str">
        <f t="shared" si="3"/>
        <v>1011</v>
      </c>
      <c r="C72" s="1">
        <v>11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M72" s="1">
        <v>0</v>
      </c>
      <c r="N72" s="1" t="str">
        <f t="shared" si="2"/>
        <v>00</v>
      </c>
    </row>
    <row r="73" spans="2:14">
      <c r="B73" s="1" t="str">
        <f t="shared" si="3"/>
        <v>1100</v>
      </c>
      <c r="C73" s="1">
        <v>12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M73" s="1">
        <v>0</v>
      </c>
      <c r="N73" s="1" t="str">
        <f t="shared" si="2"/>
        <v>00</v>
      </c>
    </row>
    <row r="74" spans="2:14">
      <c r="B74" s="1" t="str">
        <f t="shared" si="3"/>
        <v>1101</v>
      </c>
      <c r="C74" s="1">
        <v>13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M74" s="1">
        <v>0</v>
      </c>
      <c r="N74" s="1" t="str">
        <f t="shared" si="2"/>
        <v>00</v>
      </c>
    </row>
    <row r="75" spans="2:14">
      <c r="B75" s="1" t="str">
        <f t="shared" si="3"/>
        <v>1110</v>
      </c>
      <c r="C75" s="1">
        <v>14</v>
      </c>
      <c r="D75" s="1">
        <v>0</v>
      </c>
      <c r="E75" s="1">
        <v>0</v>
      </c>
      <c r="F75" s="1">
        <v>0</v>
      </c>
      <c r="G75" s="1">
        <v>1</v>
      </c>
      <c r="H75" s="1">
        <v>1</v>
      </c>
      <c r="I75" s="1">
        <v>1</v>
      </c>
      <c r="J75" s="1">
        <v>0</v>
      </c>
      <c r="M75" s="1">
        <v>0</v>
      </c>
      <c r="N75" s="1" t="str">
        <f t="shared" si="2"/>
        <v>1C</v>
      </c>
    </row>
    <row r="76" spans="2:14">
      <c r="B76" s="1" t="str">
        <f t="shared" si="3"/>
        <v>1111</v>
      </c>
      <c r="C76" s="1">
        <v>15</v>
      </c>
      <c r="D76" s="1">
        <v>0</v>
      </c>
      <c r="E76" s="1">
        <v>0</v>
      </c>
      <c r="F76" s="1">
        <v>0</v>
      </c>
      <c r="G76" s="1">
        <v>0</v>
      </c>
      <c r="H76" s="1">
        <v>1</v>
      </c>
      <c r="I76" s="1">
        <v>1</v>
      </c>
      <c r="J76" s="1">
        <v>1</v>
      </c>
      <c r="M76" s="1">
        <v>0</v>
      </c>
      <c r="N76" s="1" t="str">
        <f t="shared" si="2"/>
        <v>0E</v>
      </c>
    </row>
  </sheetData>
  <mergeCells count="54">
    <mergeCell ref="N1:AB1"/>
    <mergeCell ref="D3:G3"/>
    <mergeCell ref="H3:J3"/>
    <mergeCell ref="A5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B5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C5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2:C5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kungf</dc:creator>
  <cp:lastModifiedBy>Arvind</cp:lastModifiedBy>
  <dcterms:created xsi:type="dcterms:W3CDTF">2026-10-22T07:44:00Z</dcterms:created>
  <dcterms:modified xsi:type="dcterms:W3CDTF">2026-10-23T04:59:04Z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63F917DBB3684C9EB7FAFE9DA0581829_11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