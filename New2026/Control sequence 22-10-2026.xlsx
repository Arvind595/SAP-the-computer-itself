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15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<sst xmlns="http://schemas.openxmlformats.org/spreadsheetml/2006/main" count="83" uniqueCount="63">
  <si>
    <t>Control Signal net name</t>
  </si>
  <si>
    <t>A6</t>
  </si>
  <si>
    <t>A5</t>
  </si>
  <si>
    <t>A4</t>
  </si>
  <si>
    <t>A3</t>
  </si>
  <si>
    <t>A2</t>
  </si>
  <si>
    <t>A1</t>
  </si>
  <si>
    <t>A0</t>
  </si>
  <si>
    <t>D0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</si>
  <si>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</si>
  <si>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</si>
  <si>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</si>
  <si>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</si>
  <si>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</si>
  <si>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</si>
  <si>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</si>
  <si>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</si>
  <si>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</si>
  <si>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</si>
  <si>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</si>
  <si>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</si>
  <si>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</si>
  <si>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</si>
  <si>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</si>
  <si>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Halt</t>
  </si>
  <si>
    <t>MAR In</t>
  </si>
  <si>
    <t>Ram In</t>
  </si>
  <si>
    <t>Ram Out</t>
  </si>
  <si>
    <t>Inst Out</t>
  </si>
  <si>
    <t>Inst In</t>
  </si>
  <si>
    <t>A reg In</t>
  </si>
  <si>
    <t>A reg Out</t>
  </si>
  <si>
    <t>Sum reg Out</t>
  </si>
  <si>
    <t>Subtract En</t>
  </si>
  <si>
    <t>B reg In</t>
  </si>
  <si>
    <t>output reg In</t>
  </si>
  <si>
    <t>Count En</t>
  </si>
  <si>
    <t>Count Out</t>
  </si>
  <si>
    <t>Jump En</t>
  </si>
  <si>
    <t>executed instruction</t>
  </si>
  <si>
    <t>Instruction Bits(high Nibble)</t>
  </si>
  <si>
    <t>Step (T0 - T4)</t>
  </si>
  <si>
    <t>HLT</t>
  </si>
  <si>
    <t>MI</t>
  </si>
  <si>
    <t>RI</t>
  </si>
  <si>
    <t>RO</t>
  </si>
  <si>
    <t>IO</t>
  </si>
  <si>
    <t>II</t>
  </si>
  <si>
    <t>AI</t>
  </si>
  <si>
    <t>AO</t>
  </si>
  <si>
    <t>SO</t>
  </si>
  <si>
    <t>SU</t>
  </si>
  <si>
    <t>BI</t>
  </si>
  <si>
    <t>OI</t>
  </si>
  <si>
    <t>CE</t>
  </si>
  <si>
    <t>CO</t>
  </si>
  <si>
    <t>JE</t>
  </si>
  <si>
    <t>Fetch</t>
  </si>
  <si>
    <t>x</t>
  </si>
  <si>
    <t>LDA</t>
  </si>
  <si>
    <t>ADD</t>
  </si>
  <si>
    <t>OUT</t>
  </si>
  <si>
    <t>Location in RAM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</si>
</sst>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1">
    <font>
      <sz val="11"/>
      <color theme="1"/>
      <name val="Calibri"/>
      <charset val="134"/>
      <scheme val="minor"/>
    </font>
    <font>
      <sz val="11"/>
      <color theme="1"/>
      <name val="Consola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40"/>
  <sheetViews>
    <sheetView tabSelected="1" zoomScale="115" zoomScaleNormal="115" topLeftCell="A19" workbookViewId="0">
      <selection activeCell="Q32" sqref="Q32"/>
    </sheetView>
  </sheetViews>
  <sheetFormatPr defaultColWidth="9.14285714285714" defaultRowHeight="15"/>
  <cols>
    <col min="1" max="1" width="26.2857142857143" style="1" customWidth="1"/>
    <col min="2" max="5" width="7.71428571428571" style="1" customWidth="1"/>
    <col min="6" max="6" width="9.14285714285714" style="1"/>
    <col min="7" max="9" width="7.71428571428571" style="1" customWidth="1"/>
    <col min="10" max="10" width="9.14285714285714" style="1"/>
    <col min="11" max="11" width="12.0190476190476" style="1" customWidth="1"/>
    <col min="12" max="13" width="8.42857142857143" style="1" customWidth="1"/>
    <col min="14" max="14" width="9.57142857142857" style="1" customWidth="1"/>
    <col min="15" max="15" width="10.8571428571429" style="1" customWidth="1"/>
    <col min="16" max="16" width="9.57142857142857" style="1" customWidth="1"/>
    <col min="17" max="17" width="10.8571428571429" style="1" customWidth="1"/>
    <col min="18" max="19" width="12.1428571428571" style="1" customWidth="1"/>
    <col min="20" max="21" width="14.7142857142857" style="1" customWidth="1"/>
    <col min="22" max="22" width="10.8571428571429" style="1" customWidth="1"/>
    <col min="23" max="23" width="17.2857142857143" style="1" customWidth="1"/>
    <col min="24" max="24" width="10.8571428571429" style="1" customWidth="1"/>
    <col min="25" max="25" width="12.1428571428571" style="1" customWidth="1"/>
    <col min="26" max="26" width="9.57142857142857" style="1" customWidth="1"/>
    <col min="27" max="16384" width="9.14285714285714" style="1"/>
  </cols>
  <sheetData>
    <row r="1" spans="1:28">
      <c r="K1" s="2" t="s">
        <v>0</v>
      </c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>
      <c r="B2" s="3" t="s">
        <v>1</v>
      </c>
      <c r="C2" s="3" t="s">
        <v>2</v>
      </c>
      <c r="D2" s="3" t="s">
        <v>3</v>
      </c>
      <c r="E2" s="3" t="s">
        <v>4</v>
      </c>
      <c r="G2" s="1" t="s">
        <v>5</v>
      </c>
      <c r="H2" s="1" t="s">
        <v>6</v>
      </c>
      <c r="I2" s="1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/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</row>
    <row r="3" spans="1:28">
      <c r="K3" s="2" t="s">
        <v>24</v>
      </c>
      <c r="L3" s="2" t="s">
        <v>25</v>
      </c>
      <c r="M3" s="2" t="s">
        <v>26</v>
      </c>
      <c r="N3" s="2" t="s">
        <v>27</v>
      </c>
      <c r="O3" s="2" t="s">
        <v>28</v>
      </c>
      <c r="P3" s="2" t="s">
        <v>29</v>
      </c>
      <c r="Q3" s="2" t="s">
        <v>30</v>
      </c>
      <c r="R3" s="2" t="s">
        <v>31</v>
      </c>
      <c r="S3" s="2"/>
      <c r="T3" s="2" t="s">
        <v>32</v>
      </c>
      <c r="U3" s="2" t="s">
        <v>33</v>
      </c>
      <c r="V3" s="2" t="s">
        <v>34</v>
      </c>
      <c r="W3" s="2" t="s">
        <v>35</v>
      </c>
      <c r="X3" s="2" t="s">
        <v>36</v>
      </c>
      <c r="Y3" s="2" t="s">
        <v>37</v>
      </c>
      <c r="Z3" s="2" t="s">
        <v>38</v>
      </c>
      <c r="AA3" s="2"/>
    </row>
    <row r="4" spans="1:28">
      <c r="A4" s="2" t="s">
        <v>39</v>
      </c>
      <c r="B4" s="4" t="s">
        <v>40</v>
      </c>
      <c r="C4" s="4"/>
      <c r="D4" s="4"/>
      <c r="E4" s="4"/>
      <c r="G4" s="2" t="s">
        <v>41</v>
      </c>
      <c r="H4" s="2"/>
      <c r="I4" s="2"/>
      <c r="K4" s="2" t="s">
        <v>42</v>
      </c>
      <c r="L4" s="2" t="s">
        <v>43</v>
      </c>
      <c r="M4" s="2" t="s">
        <v>44</v>
      </c>
      <c r="N4" s="2" t="s">
        <v>45</v>
      </c>
      <c r="O4" s="2" t="s">
        <v>46</v>
      </c>
      <c r="P4" s="2" t="s">
        <v>47</v>
      </c>
      <c r="Q4" s="2" t="s">
        <v>48</v>
      </c>
      <c r="R4" s="2" t="s">
        <v>49</v>
      </c>
      <c r="S4" s="2"/>
      <c r="T4" s="2" t="s">
        <v>50</v>
      </c>
      <c r="U4" s="2" t="s">
        <v>51</v>
      </c>
      <c r="V4" s="2" t="s">
        <v>52</v>
      </c>
      <c r="W4" s="2" t="s">
        <v>53</v>
      </c>
      <c r="X4" s="2" t="s">
        <v>54</v>
      </c>
      <c r="Y4" s="2" t="s">
        <v>55</v>
      </c>
      <c r="Z4" s="2" t="s">
        <v>56</v>
      </c>
      <c r="AA4" s="2"/>
    </row>
    <row r="5" spans="1:28">
      <c r="A5" s="2" t="s">
        <v>57</v>
      </c>
      <c r="B5" s="2" t="s">
        <v>58</v>
      </c>
      <c r="C5" s="2" t="s">
        <v>58</v>
      </c>
      <c r="D5" s="2" t="s">
        <v>58</v>
      </c>
      <c r="E5" s="2" t="s">
        <v>58</v>
      </c>
      <c r="G5" s="2">
        <v>0</v>
      </c>
      <c r="H5" s="2">
        <v>0</v>
      </c>
      <c r="I5" s="2">
        <v>0</v>
      </c>
      <c r="J5" s="1"/>
      <c r="K5" s="2">
        <v>0</v>
      </c>
      <c r="L5" s="2">
        <v>1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/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1</v>
      </c>
      <c r="Z5" s="2">
        <v>0</v>
      </c>
      <c r="AA5" s="2">
        <v>0</v>
      </c>
      <c r="AB5" s="1" t="str" cm="1">
        <f t="array" ref="AB5" xml:space="preserve">DEC2HEX(SUMPRODUCT(K5:R5,2^{0,1,2,3,4,5,6,7})+SUMPRODUCT(T5:AA5,2^{8,9,10,11,12,13,14,15}),4)</f>
        <v>2002</v>
      </c>
    </row>
    <row r="6" spans="1:28">
      <c r="A6" s="2"/>
      <c r="B6" s="2" t="s">
        <v>58</v>
      </c>
      <c r="C6" s="2" t="s">
        <v>58</v>
      </c>
      <c r="D6" s="2" t="s">
        <v>58</v>
      </c>
      <c r="E6" s="2" t="s">
        <v>58</v>
      </c>
      <c r="G6" s="2">
        <v>0</v>
      </c>
      <c r="H6" s="2">
        <v>0</v>
      </c>
      <c r="I6" s="2">
        <v>1</v>
      </c>
      <c r="J6" s="1"/>
      <c r="K6" s="2">
        <v>0</v>
      </c>
      <c r="L6" s="2">
        <v>0</v>
      </c>
      <c r="M6" s="2">
        <v>0</v>
      </c>
      <c r="N6" s="2">
        <v>1</v>
      </c>
      <c r="O6" s="2">
        <v>0</v>
      </c>
      <c r="P6" s="2">
        <v>1</v>
      </c>
      <c r="Q6" s="2">
        <v>0</v>
      </c>
      <c r="R6" s="2">
        <v>0</v>
      </c>
      <c r="S6" s="2"/>
      <c r="T6" s="2">
        <v>0</v>
      </c>
      <c r="U6" s="2">
        <v>0</v>
      </c>
      <c r="V6" s="2">
        <v>0</v>
      </c>
      <c r="W6" s="2">
        <v>0</v>
      </c>
      <c r="X6" s="2">
        <v>1</v>
      </c>
      <c r="Y6" s="2">
        <v>0</v>
      </c>
      <c r="Z6" s="2">
        <v>0</v>
      </c>
      <c r="AA6" s="2">
        <v>0</v>
      </c>
      <c r="AB6" s="1" t="str" cm="1">
        <f t="array" ref="AB6" xml:space="preserve">DEC2HEX(SUMPRODUCT(K6:R6,2^{0,1,2,3,4,5,6,7})+SUMPRODUCT(T6:AA6,2^{8,9,10,11,12,13,14,15}),4)</f>
        <v>1028</v>
      </c>
    </row>
    <row r="8" spans="1:28">
      <c r="A8" s="2" t="s">
        <v>59</v>
      </c>
      <c r="B8" s="2">
        <v>0</v>
      </c>
      <c r="C8" s="2">
        <v>0</v>
      </c>
      <c r="D8" s="2">
        <v>0</v>
      </c>
      <c r="E8" s="2">
        <v>1</v>
      </c>
      <c r="F8" s="1">
        <f xml:space="preserve">BIN2DEC(_xlfn.TEXTJOIN("",TRUE,B8:E8,G8:I8))</f>
        <v>10</v>
      </c>
      <c r="G8" s="2">
        <v>0</v>
      </c>
      <c r="H8" s="2">
        <v>1</v>
      </c>
      <c r="I8" s="2">
        <v>0</v>
      </c>
      <c r="J8" s="1" t="str">
        <f xml:space="preserve">DEC2HEX(BIN2DEC(_xlfn.TEXTJOIN("",TRUE,B8:E8,G8:I8)),2)</f>
        <v>0A</v>
      </c>
      <c r="K8" s="2">
        <v>0</v>
      </c>
      <c r="L8" s="2">
        <v>1</v>
      </c>
      <c r="M8" s="2">
        <v>0</v>
      </c>
      <c r="N8" s="2">
        <v>0</v>
      </c>
      <c r="O8" s="2">
        <v>1</v>
      </c>
      <c r="P8" s="2">
        <v>0</v>
      </c>
      <c r="Q8" s="2">
        <v>0</v>
      </c>
      <c r="R8" s="2">
        <v>0</v>
      </c>
      <c r="S8" s="2"/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1" t="str" cm="1">
        <f t="array" ref="AB8" xml:space="preserve">DEC2HEX(SUMPRODUCT(K8:R8,2^{0,1,2,3,4,5,6,7})+SUMPRODUCT(T8:AA8,2^{8,9,10,11,12,13,14,15}),4)</f>
        <v>0012</v>
      </c>
    </row>
    <row r="9" spans="1:28">
      <c r="A9" s="2"/>
      <c r="B9" s="2">
        <v>0</v>
      </c>
      <c r="C9" s="2">
        <v>0</v>
      </c>
      <c r="D9" s="2">
        <v>0</v>
      </c>
      <c r="E9" s="2">
        <v>1</v>
      </c>
      <c r="F9" s="1">
        <f t="shared" ref="F9:F18" si="0" xml:space="preserve">BIN2DEC(_xlfn.TEXTJOIN("",TRUE,B9:E9,G9:I9))</f>
        <v>11</v>
      </c>
      <c r="G9" s="2">
        <v>0</v>
      </c>
      <c r="H9" s="2">
        <v>1</v>
      </c>
      <c r="I9" s="2">
        <v>1</v>
      </c>
      <c r="J9" s="1" t="str">
        <f t="shared" ref="J9:J18" si="1" xml:space="preserve">DEC2HEX(BIN2DEC(_xlfn.TEXTJOIN("",TRUE,B9:E9,G9:I9)),2)</f>
        <v>0B</v>
      </c>
      <c r="K9" s="2">
        <v>0</v>
      </c>
      <c r="L9" s="2">
        <v>0</v>
      </c>
      <c r="M9" s="2">
        <v>0</v>
      </c>
      <c r="N9" s="2">
        <v>1</v>
      </c>
      <c r="O9" s="2">
        <v>0</v>
      </c>
      <c r="P9" s="2">
        <v>0</v>
      </c>
      <c r="Q9" s="2">
        <v>1</v>
      </c>
      <c r="R9" s="2">
        <v>0</v>
      </c>
      <c r="S9" s="2"/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1" t="str" cm="1">
        <f t="array" ref="AB9" xml:space="preserve">DEC2HEX(SUMPRODUCT(K9:R9,2^{0,1,2,3,4,5,6,7})+SUMPRODUCT(T9:AA9,2^{8,9,10,11,12,13,14,15}),4)</f>
        <v>0048</v>
      </c>
    </row>
    <row r="10" spans="1:28">
      <c r="A10" s="2"/>
      <c r="B10" s="2">
        <v>0</v>
      </c>
      <c r="C10" s="2">
        <v>0</v>
      </c>
      <c r="D10" s="2">
        <v>0</v>
      </c>
      <c r="E10" s="2">
        <v>1</v>
      </c>
      <c r="F10" s="1">
        <f t="shared" si="0"/>
        <v>12</v>
      </c>
      <c r="G10" s="2">
        <v>1</v>
      </c>
      <c r="H10" s="2">
        <v>0</v>
      </c>
      <c r="I10" s="2">
        <v>0</v>
      </c>
      <c r="J10" s="1" t="str">
        <f t="shared" si="1"/>
        <v>0C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/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1" t="str" cm="1">
        <f t="array" ref="AB10" xml:space="preserve">DEC2HEX(SUMPRODUCT(K10:R10,2^{0,1,2,3,4,5,6,7})+SUMPRODUCT(T10:AA10,2^{8,9,10,11,12,13,14,15}),4)</f>
        <v>0000</v>
      </c>
    </row>
    <row r="12" spans="1:28">
      <c r="A12" s="2" t="s">
        <v>60</v>
      </c>
      <c r="B12" s="2">
        <v>0</v>
      </c>
      <c r="C12" s="2">
        <v>0</v>
      </c>
      <c r="D12" s="2">
        <v>1</v>
      </c>
      <c r="E12" s="2">
        <v>0</v>
      </c>
      <c r="F12" s="1">
        <f t="shared" si="0"/>
        <v>18</v>
      </c>
      <c r="G12" s="2">
        <v>0</v>
      </c>
      <c r="H12" s="2">
        <v>1</v>
      </c>
      <c r="I12" s="2">
        <v>0</v>
      </c>
      <c r="J12" s="1" t="str">
        <f t="shared" si="1"/>
        <v>12</v>
      </c>
      <c r="K12" s="2">
        <v>0</v>
      </c>
      <c r="L12" s="2">
        <v>1</v>
      </c>
      <c r="M12" s="2">
        <v>0</v>
      </c>
      <c r="N12" s="2">
        <v>0</v>
      </c>
      <c r="O12" s="2">
        <v>1</v>
      </c>
      <c r="P12" s="2">
        <v>0</v>
      </c>
      <c r="Q12" s="2">
        <v>0</v>
      </c>
      <c r="R12" s="2">
        <v>0</v>
      </c>
      <c r="S12" s="2"/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1" t="str" cm="1">
        <f t="array" ref="AB12" xml:space="preserve">DEC2HEX(SUMPRODUCT(K12:R12,2^{0,1,2,3,4,5,6,7})+SUMPRODUCT(T12:AA12,2^{8,9,10,11,12,13,14,15}),4)</f>
        <v>0012</v>
      </c>
    </row>
    <row r="13" spans="1:28">
      <c r="A13" s="2"/>
      <c r="B13" s="2">
        <v>0</v>
      </c>
      <c r="C13" s="2">
        <v>0</v>
      </c>
      <c r="D13" s="2">
        <v>1</v>
      </c>
      <c r="E13" s="2">
        <v>0</v>
      </c>
      <c r="F13" s="1">
        <f t="shared" si="0"/>
        <v>19</v>
      </c>
      <c r="G13" s="2">
        <v>0</v>
      </c>
      <c r="H13" s="2">
        <v>1</v>
      </c>
      <c r="I13" s="2">
        <v>1</v>
      </c>
      <c r="J13" s="1" t="str">
        <f t="shared" si="1"/>
        <v>13</v>
      </c>
      <c r="K13" s="2">
        <v>0</v>
      </c>
      <c r="L13" s="2">
        <v>0</v>
      </c>
      <c r="M13" s="2">
        <v>0</v>
      </c>
      <c r="N13" s="2">
        <v>1</v>
      </c>
      <c r="O13" s="2">
        <v>0</v>
      </c>
      <c r="P13" s="2">
        <v>0</v>
      </c>
      <c r="Q13" s="2">
        <v>0</v>
      </c>
      <c r="R13" s="2">
        <v>0</v>
      </c>
      <c r="S13" s="2"/>
      <c r="T13" s="2">
        <v>0</v>
      </c>
      <c r="U13" s="2">
        <v>0</v>
      </c>
      <c r="V13" s="2">
        <v>1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1" t="str" cm="1">
        <f t="array" ref="AB13" xml:space="preserve">DEC2HEX(SUMPRODUCT(K13:R13,2^{0,1,2,3,4,5,6,7})+SUMPRODUCT(T13:AA13,2^{8,9,10,11,12,13,14,15}),4)</f>
        <v>0408</v>
      </c>
    </row>
    <row r="14" spans="1:28">
      <c r="A14" s="2"/>
      <c r="B14" s="2">
        <v>0</v>
      </c>
      <c r="C14" s="2">
        <v>0</v>
      </c>
      <c r="D14" s="2">
        <v>1</v>
      </c>
      <c r="E14" s="2">
        <v>0</v>
      </c>
      <c r="F14" s="1">
        <f t="shared" si="0"/>
        <v>20</v>
      </c>
      <c r="G14" s="2">
        <v>1</v>
      </c>
      <c r="H14" s="2">
        <v>0</v>
      </c>
      <c r="I14" s="2">
        <v>0</v>
      </c>
      <c r="J14" s="1" t="str">
        <f t="shared" si="1"/>
        <v>14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1</v>
      </c>
      <c r="R14" s="2">
        <v>0</v>
      </c>
      <c r="S14" s="2"/>
      <c r="T14" s="2">
        <v>1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1" t="str" cm="1">
        <f t="array" ref="AB14" xml:space="preserve">DEC2HEX(SUMPRODUCT(K14:R14,2^{0,1,2,3,4,5,6,7})+SUMPRODUCT(T14:AA14,2^{8,9,10,11,12,13,14,15}),4)</f>
        <v>0140</v>
      </c>
    </row>
    <row r="16" spans="1:28">
      <c r="A16" s="2" t="s">
        <v>61</v>
      </c>
      <c r="B16" s="2">
        <v>1</v>
      </c>
      <c r="C16" s="2">
        <v>1</v>
      </c>
      <c r="D16" s="2">
        <v>1</v>
      </c>
      <c r="E16" s="2">
        <v>0</v>
      </c>
      <c r="F16" s="1">
        <f t="shared" si="0"/>
        <v>114</v>
      </c>
      <c r="G16" s="2">
        <v>0</v>
      </c>
      <c r="H16" s="2">
        <v>1</v>
      </c>
      <c r="I16" s="2">
        <v>0</v>
      </c>
      <c r="J16" s="1" t="str">
        <f t="shared" si="1"/>
        <v>72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1</v>
      </c>
      <c r="S16" s="2"/>
      <c r="T16" s="2">
        <v>0</v>
      </c>
      <c r="U16" s="2">
        <v>0</v>
      </c>
      <c r="V16" s="2">
        <v>0</v>
      </c>
      <c r="W16" s="2">
        <v>1</v>
      </c>
      <c r="X16" s="2">
        <v>0</v>
      </c>
      <c r="Y16" s="2">
        <v>0</v>
      </c>
      <c r="Z16" s="2">
        <v>0</v>
      </c>
      <c r="AA16" s="2">
        <v>0</v>
      </c>
      <c r="AB16" s="1" t="str" cm="1">
        <f t="array" ref="AB16" xml:space="preserve">DEC2HEX(SUMPRODUCT(K16:R16,2^{0,1,2,3,4,5,6,7})+SUMPRODUCT(T16:AA16,2^{8,9,10,11,12,13,14,15}),4)</f>
        <v>0880</v>
      </c>
    </row>
    <row r="17" spans="1:28">
      <c r="A17" s="2"/>
      <c r="B17" s="2">
        <v>1</v>
      </c>
      <c r="C17" s="2">
        <v>1</v>
      </c>
      <c r="D17" s="2">
        <v>1</v>
      </c>
      <c r="E17" s="2">
        <v>0</v>
      </c>
      <c r="F17" s="1">
        <f t="shared" si="0"/>
        <v>115</v>
      </c>
      <c r="G17" s="2">
        <v>0</v>
      </c>
      <c r="H17" s="2">
        <v>1</v>
      </c>
      <c r="I17" s="2">
        <v>1</v>
      </c>
      <c r="J17" s="1" t="str">
        <f t="shared" si="1"/>
        <v>73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/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1" t="str" cm="1">
        <f t="array" ref="AB17" xml:space="preserve">DEC2HEX(SUMPRODUCT(K17:R17,2^{0,1,2,3,4,5,6,7})+SUMPRODUCT(T17:AA17,2^{8,9,10,11,12,13,14,15}),4)</f>
        <v>0000</v>
      </c>
    </row>
    <row r="18" spans="1:28">
      <c r="A18" s="2"/>
      <c r="B18" s="2">
        <v>1</v>
      </c>
      <c r="C18" s="2">
        <v>1</v>
      </c>
      <c r="D18" s="2">
        <v>1</v>
      </c>
      <c r="E18" s="2">
        <v>0</v>
      </c>
      <c r="F18" s="1">
        <f t="shared" si="0"/>
        <v>116</v>
      </c>
      <c r="G18" s="2">
        <v>1</v>
      </c>
      <c r="H18" s="2">
        <v>0</v>
      </c>
      <c r="I18" s="2">
        <v>0</v>
      </c>
      <c r="J18" s="1" t="str">
        <f t="shared" si="1"/>
        <v>74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/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0</v>
      </c>
      <c r="AB18" s="1" t="str" cm="1">
        <f t="array" ref="AB18" xml:space="preserve">DEC2HEX(SUMPRODUCT(K18:R18,2^{0,1,2,3,4,5,6,7})+SUMPRODUCT(T18:AA18,2^{8,9,10,11,12,13,14,15}),4)</f>
        <v>0000</v>
      </c>
    </row>
    <row r="20" spans="1:28">
      <c r="A20" s="2" t="s">
        <v>42</v>
      </c>
      <c r="B20" s="2">
        <v>1</v>
      </c>
      <c r="C20" s="2">
        <v>1</v>
      </c>
      <c r="D20" s="2">
        <v>1</v>
      </c>
      <c r="E20" s="2">
        <v>1</v>
      </c>
      <c r="F20" s="1">
        <f xml:space="preserve">BIN2DEC(_xlfn.TEXTJOIN("",TRUE,B20:E20,G20:I20))</f>
        <v>122</v>
      </c>
      <c r="G20" s="2">
        <v>0</v>
      </c>
      <c r="H20" s="2">
        <v>1</v>
      </c>
      <c r="I20" s="2">
        <v>0</v>
      </c>
      <c r="J20" s="1" t="str">
        <f xml:space="preserve">DEC2HEX(BIN2DEC(_xlfn.TEXTJOIN("",TRUE,B20:E20,G20:I20)),2)</f>
        <v>7A</v>
      </c>
      <c r="K20" s="2">
        <v>1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1" t="str" cm="1">
        <f t="array" ref="AB20" xml:space="preserve">DEC2HEX(SUMPRODUCT(K20:R20,2^{0,1,2,3,4,5,6,7})+SUMPRODUCT(T20:AA20,2^{8,9,10,11,12,13,14,15}),4)</f>
        <v>0001</v>
      </c>
    </row>
    <row r="21" spans="1:28">
      <c r="A21" s="2"/>
      <c r="B21" s="2">
        <v>1</v>
      </c>
      <c r="C21" s="2">
        <v>1</v>
      </c>
      <c r="D21" s="2">
        <v>1</v>
      </c>
      <c r="E21" s="2">
        <v>1</v>
      </c>
      <c r="F21" s="1">
        <f xml:space="preserve">BIN2DEC(_xlfn.TEXTJOIN("",TRUE,B21:E21,G21:I21))</f>
        <v>123</v>
      </c>
      <c r="G21" s="2">
        <v>0</v>
      </c>
      <c r="H21" s="2">
        <v>1</v>
      </c>
      <c r="I21" s="2">
        <v>1</v>
      </c>
      <c r="J21" s="1" t="str">
        <f xml:space="preserve">DEC2HEX(BIN2DEC(_xlfn.TEXTJOIN("",TRUE,B21:E21,G21:I21)),2)</f>
        <v>7B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1" t="str" cm="1">
        <f t="array" ref="AB21" xml:space="preserve">DEC2HEX(SUMPRODUCT(K21:R21,2^{0,1,2,3,4,5,6,7})+SUMPRODUCT(T21:AA21,2^{8,9,10,11,12,13,14,15}),4)</f>
        <v>0000</v>
      </c>
    </row>
    <row r="22" spans="1:28">
      <c r="A22" s="2"/>
      <c r="B22" s="2">
        <v>1</v>
      </c>
      <c r="C22" s="2">
        <v>1</v>
      </c>
      <c r="D22" s="2">
        <v>1</v>
      </c>
      <c r="E22" s="2">
        <v>1</v>
      </c>
      <c r="F22" s="1">
        <f xml:space="preserve">BIN2DEC(_xlfn.TEXTJOIN("",TRUE,B22:E22,G22:I22))</f>
        <v>124</v>
      </c>
      <c r="G22" s="2">
        <v>1</v>
      </c>
      <c r="H22" s="2">
        <v>0</v>
      </c>
      <c r="I22" s="2">
        <v>0</v>
      </c>
      <c r="J22" s="1" t="str">
        <f xml:space="preserve">DEC2HEX(BIN2DEC(_xlfn.TEXTJOIN("",TRUE,B22:E22,G22:I22)),2)</f>
        <v>7C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0</v>
      </c>
      <c r="AB22" s="1" t="str" cm="1">
        <f t="array" ref="AB22" xml:space="preserve">DEC2HEX(SUMPRODUCT(K22:R22,2^{0,1,2,3,4,5,6,7})+SUMPRODUCT(T22:AA22,2^{8,9,10,11,12,13,14,15}),4)</f>
        <v>0000</v>
      </c>
    </row>
    <row r="24" spans="1:28">
      <c r="A24" s="1" t="s">
        <v>62</v>
      </c>
      <c r="B24" s="1" t="s">
        <v>15</v>
      </c>
      <c r="C24" s="1" t="s">
        <v>14</v>
      </c>
      <c r="D24" s="1" t="s">
        <v>13</v>
      </c>
      <c r="E24" s="1" t="s">
        <v>12</v>
      </c>
      <c r="G24" s="1" t="s">
        <v>11</v>
      </c>
      <c r="H24" s="1" t="s">
        <v>10</v>
      </c>
      <c r="I24" s="1" t="s">
        <v>9</v>
      </c>
      <c r="J24" s="1" t="s">
        <v>8</v>
      </c>
    </row>
    <row r="25" spans="1:28">
      <c r="A25" s="1">
        <v>0</v>
      </c>
      <c r="B25" s="1">
        <v>0</v>
      </c>
      <c r="C25" s="1">
        <v>0</v>
      </c>
      <c r="D25" s="1">
        <v>0</v>
      </c>
      <c r="E25" s="1">
        <v>1</v>
      </c>
      <c r="G25" s="1">
        <v>1</v>
      </c>
      <c r="H25" s="1">
        <v>1</v>
      </c>
      <c r="I25" s="1">
        <v>1</v>
      </c>
      <c r="J25" s="1">
        <v>0</v>
      </c>
      <c r="K25" s="1" t="str">
        <f xml:space="preserve">DEC2HEX(BIN2DEC(_xlfn.TEXTJOIN("",TRUE,B25:E25,G25:J25)),2)</f>
        <v>1E</v>
      </c>
      <c r="L25" s="1" t="s">
        <v>59</v>
      </c>
      <c r="M25" s="1">
        <v>15</v>
      </c>
    </row>
    <row r="26" spans="1:28">
      <c r="A26" s="1">
        <v>1</v>
      </c>
      <c r="B26" s="1">
        <v>0</v>
      </c>
      <c r="C26" s="1">
        <v>0</v>
      </c>
      <c r="D26" s="1">
        <v>1</v>
      </c>
      <c r="E26" s="1">
        <v>0</v>
      </c>
      <c r="G26" s="1">
        <v>1</v>
      </c>
      <c r="H26" s="1">
        <v>1</v>
      </c>
      <c r="I26" s="1">
        <v>1</v>
      </c>
      <c r="J26" s="1">
        <v>1</v>
      </c>
      <c r="K26" s="1" t="str">
        <f t="shared" ref="K26:K40" si="2" xml:space="preserve">DEC2HEX(BIN2DEC(_xlfn.TEXTJOIN("",TRUE,B26:E26,G26:J26)),2)</f>
        <v>2F</v>
      </c>
      <c r="L26" s="1" t="s">
        <v>60</v>
      </c>
      <c r="M26" s="1">
        <v>14</v>
      </c>
    </row>
    <row r="27" spans="1:28">
      <c r="A27" s="1">
        <v>2</v>
      </c>
      <c r="B27" s="1">
        <v>1</v>
      </c>
      <c r="C27" s="1">
        <v>1</v>
      </c>
      <c r="D27" s="1">
        <v>1</v>
      </c>
      <c r="E27" s="1">
        <v>0</v>
      </c>
      <c r="G27" s="1">
        <v>0</v>
      </c>
      <c r="H27" s="1">
        <v>0</v>
      </c>
      <c r="I27" s="1">
        <v>0</v>
      </c>
      <c r="J27" s="1">
        <v>0</v>
      </c>
      <c r="K27" s="1" t="str">
        <f t="shared" si="2"/>
        <v>E0</v>
      </c>
      <c r="L27" s="1" t="s">
        <v>61</v>
      </c>
    </row>
    <row r="28" spans="1:28">
      <c r="A28" s="1">
        <v>3</v>
      </c>
      <c r="B28" s="1">
        <v>1</v>
      </c>
      <c r="C28" s="1">
        <v>1</v>
      </c>
      <c r="D28" s="1">
        <v>1</v>
      </c>
      <c r="E28" s="1">
        <v>1</v>
      </c>
      <c r="G28" s="1">
        <v>0</v>
      </c>
      <c r="H28" s="1">
        <v>0</v>
      </c>
      <c r="I28" s="1">
        <v>0</v>
      </c>
      <c r="J28" s="1">
        <v>0</v>
      </c>
      <c r="K28" s="1" t="str">
        <f t="shared" si="2"/>
        <v>F0</v>
      </c>
      <c r="L28" s="1" t="s">
        <v>42</v>
      </c>
    </row>
    <row r="29" spans="1:28">
      <c r="A29" s="1">
        <v>4</v>
      </c>
      <c r="B29" s="1">
        <v>0</v>
      </c>
      <c r="C29" s="1">
        <v>0</v>
      </c>
      <c r="D29" s="1">
        <v>0</v>
      </c>
      <c r="E29" s="1">
        <v>0</v>
      </c>
      <c r="G29" s="1">
        <v>0</v>
      </c>
      <c r="H29" s="1">
        <v>0</v>
      </c>
      <c r="I29" s="1">
        <v>0</v>
      </c>
      <c r="J29" s="1">
        <v>0</v>
      </c>
      <c r="K29" s="1" t="str">
        <f t="shared" si="2"/>
        <v>00</v>
      </c>
    </row>
    <row r="30" spans="1:28">
      <c r="A30" s="1">
        <v>5</v>
      </c>
      <c r="B30" s="1">
        <v>0</v>
      </c>
      <c r="C30" s="1">
        <v>0</v>
      </c>
      <c r="D30" s="1">
        <v>0</v>
      </c>
      <c r="E30" s="1">
        <v>0</v>
      </c>
      <c r="G30" s="1">
        <v>0</v>
      </c>
      <c r="H30" s="1">
        <v>0</v>
      </c>
      <c r="I30" s="1">
        <v>0</v>
      </c>
      <c r="J30" s="1">
        <v>0</v>
      </c>
      <c r="K30" s="1" t="str">
        <f t="shared" si="2"/>
        <v>00</v>
      </c>
    </row>
    <row r="31" spans="1:28">
      <c r="A31" s="1">
        <v>6</v>
      </c>
      <c r="B31" s="1">
        <v>0</v>
      </c>
      <c r="C31" s="1">
        <v>0</v>
      </c>
      <c r="D31" s="1">
        <v>0</v>
      </c>
      <c r="E31" s="1">
        <v>0</v>
      </c>
      <c r="G31" s="1">
        <v>0</v>
      </c>
      <c r="H31" s="1">
        <v>0</v>
      </c>
      <c r="I31" s="1">
        <v>0</v>
      </c>
      <c r="J31" s="1">
        <v>0</v>
      </c>
      <c r="K31" s="1" t="str">
        <f t="shared" si="2"/>
        <v>00</v>
      </c>
    </row>
    <row r="32" spans="1:28">
      <c r="A32" s="1">
        <v>7</v>
      </c>
      <c r="B32" s="1">
        <v>0</v>
      </c>
      <c r="C32" s="1">
        <v>0</v>
      </c>
      <c r="D32" s="1">
        <v>0</v>
      </c>
      <c r="E32" s="1">
        <v>0</v>
      </c>
      <c r="G32" s="1">
        <v>0</v>
      </c>
      <c r="H32" s="1">
        <v>0</v>
      </c>
      <c r="I32" s="1">
        <v>0</v>
      </c>
      <c r="J32" s="1">
        <v>0</v>
      </c>
      <c r="K32" s="1" t="str">
        <f t="shared" si="2"/>
        <v>00</v>
      </c>
    </row>
    <row r="33" spans="1:11">
      <c r="A33" s="1">
        <v>8</v>
      </c>
      <c r="B33" s="1">
        <v>0</v>
      </c>
      <c r="C33" s="1">
        <v>0</v>
      </c>
      <c r="D33" s="1">
        <v>0</v>
      </c>
      <c r="E33" s="1">
        <v>0</v>
      </c>
      <c r="G33" s="1">
        <v>0</v>
      </c>
      <c r="H33" s="1">
        <v>0</v>
      </c>
      <c r="I33" s="1">
        <v>0</v>
      </c>
      <c r="J33" s="1">
        <v>0</v>
      </c>
      <c r="K33" s="1" t="str">
        <f t="shared" si="2"/>
        <v>00</v>
      </c>
    </row>
    <row r="34" spans="1:11">
      <c r="A34" s="1">
        <v>9</v>
      </c>
      <c r="B34" s="1">
        <v>0</v>
      </c>
      <c r="C34" s="1">
        <v>0</v>
      </c>
      <c r="D34" s="1">
        <v>0</v>
      </c>
      <c r="E34" s="1">
        <v>0</v>
      </c>
      <c r="G34" s="1">
        <v>0</v>
      </c>
      <c r="H34" s="1">
        <v>0</v>
      </c>
      <c r="I34" s="1">
        <v>0</v>
      </c>
      <c r="J34" s="1">
        <v>0</v>
      </c>
      <c r="K34" s="1" t="str">
        <f t="shared" si="2"/>
        <v>00</v>
      </c>
    </row>
    <row r="35" spans="1:11">
      <c r="A35" s="1">
        <v>10</v>
      </c>
      <c r="B35" s="1">
        <v>0</v>
      </c>
      <c r="C35" s="1">
        <v>0</v>
      </c>
      <c r="D35" s="1">
        <v>0</v>
      </c>
      <c r="E35" s="1">
        <v>0</v>
      </c>
      <c r="G35" s="1">
        <v>0</v>
      </c>
      <c r="H35" s="1">
        <v>0</v>
      </c>
      <c r="I35" s="1">
        <v>0</v>
      </c>
      <c r="J35" s="1">
        <v>0</v>
      </c>
      <c r="K35" s="1" t="str">
        <f t="shared" si="2"/>
        <v>00</v>
      </c>
    </row>
    <row r="36" spans="1:11">
      <c r="A36" s="1">
        <v>11</v>
      </c>
      <c r="B36" s="1">
        <v>0</v>
      </c>
      <c r="C36" s="1">
        <v>0</v>
      </c>
      <c r="D36" s="1">
        <v>0</v>
      </c>
      <c r="E36" s="1">
        <v>0</v>
      </c>
      <c r="G36" s="1">
        <v>0</v>
      </c>
      <c r="H36" s="1">
        <v>0</v>
      </c>
      <c r="I36" s="1">
        <v>0</v>
      </c>
      <c r="J36" s="1">
        <v>0</v>
      </c>
      <c r="K36" s="1" t="str">
        <f t="shared" si="2"/>
        <v>00</v>
      </c>
    </row>
    <row r="37" spans="1:11">
      <c r="A37" s="1">
        <v>12</v>
      </c>
      <c r="B37" s="1">
        <v>0</v>
      </c>
      <c r="C37" s="1">
        <v>0</v>
      </c>
      <c r="D37" s="1">
        <v>0</v>
      </c>
      <c r="E37" s="1">
        <v>0</v>
      </c>
      <c r="G37" s="1">
        <v>0</v>
      </c>
      <c r="H37" s="1">
        <v>0</v>
      </c>
      <c r="I37" s="1">
        <v>0</v>
      </c>
      <c r="J37" s="1">
        <v>0</v>
      </c>
      <c r="K37" s="1" t="str">
        <f t="shared" si="2"/>
        <v>00</v>
      </c>
    </row>
    <row r="38" spans="1:11">
      <c r="A38" s="1">
        <v>13</v>
      </c>
      <c r="B38" s="1">
        <v>0</v>
      </c>
      <c r="C38" s="1">
        <v>0</v>
      </c>
      <c r="D38" s="1">
        <v>0</v>
      </c>
      <c r="E38" s="1">
        <v>0</v>
      </c>
      <c r="G38" s="1">
        <v>0</v>
      </c>
      <c r="H38" s="1">
        <v>0</v>
      </c>
      <c r="I38" s="1">
        <v>0</v>
      </c>
      <c r="J38" s="1">
        <v>0</v>
      </c>
      <c r="K38" s="1" t="str">
        <f t="shared" si="2"/>
        <v>00</v>
      </c>
    </row>
    <row r="39" spans="1:11">
      <c r="A39" s="1">
        <v>14</v>
      </c>
      <c r="B39" s="1">
        <v>0</v>
      </c>
      <c r="C39" s="1">
        <v>0</v>
      </c>
      <c r="D39" s="1">
        <v>0</v>
      </c>
      <c r="E39" s="1">
        <v>1</v>
      </c>
      <c r="G39" s="1">
        <v>1</v>
      </c>
      <c r="H39" s="1">
        <v>1</v>
      </c>
      <c r="I39" s="1">
        <v>0</v>
      </c>
      <c r="J39" s="1">
        <v>0</v>
      </c>
      <c r="K39" s="1" t="str">
        <f t="shared" si="2"/>
        <v>1C</v>
      </c>
    </row>
    <row r="40" spans="1:11">
      <c r="A40" s="1">
        <v>15</v>
      </c>
      <c r="B40" s="1">
        <v>0</v>
      </c>
      <c r="C40" s="1">
        <v>0</v>
      </c>
      <c r="D40" s="1">
        <v>0</v>
      </c>
      <c r="E40" s="1">
        <v>0</v>
      </c>
      <c r="G40" s="1">
        <v>1</v>
      </c>
      <c r="H40" s="1">
        <v>1</v>
      </c>
      <c r="I40" s="1">
        <v>1</v>
      </c>
      <c r="J40" s="1">
        <v>0</v>
      </c>
      <c r="K40" s="1" t="str">
        <f t="shared" si="2"/>
        <v>0E</v>
      </c>
    </row>
  </sheetData>
  <mergeCells count="8">
    <mergeCell ref="K1:Z1"/>
    <mergeCell ref="B4:E4"/>
    <mergeCell ref="G4:I4"/>
    <mergeCell ref="A5:A6"/>
    <mergeCell ref="A8:A10"/>
    <mergeCell ref="A12:A14"/>
    <mergeCell ref="A16:A18"/>
    <mergeCell ref="A20:A2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kungf</dc:creator>
  <cp:lastModifiedBy>Arvind</cp:lastModifiedBy>
  <dcterms:created xsi:type="dcterms:W3CDTF">2026-10-22T07:44:39Z</dcterms:created>
  <dcterms:modified xsi:type="dcterms:W3CDTF">2026-10-22T13:09:44Z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63F917DBB3684C9EB7FAFE9DA0581829_11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1</vt:i4>
  </property>
  <property fmtid="{D5CDD505-2E9C-101B-9397-08002B2CF9AE}" pid="5" name="KSOReadingLayout">
    <vt:bool>true</vt:bool>
  </property>
</Properties>
</file>